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Escorcia T-blue\Documents\Casa80-app\"/>
    </mc:Choice>
  </mc:AlternateContent>
  <xr:revisionPtr revIDLastSave="0" documentId="13_ncr:1_{382A3396-33F5-4570-BDF9-0C0829572751}" xr6:coauthVersionLast="47" xr6:coauthVersionMax="47" xr10:uidLastSave="{00000000-0000-0000-0000-000000000000}"/>
  <bookViews>
    <workbookView minimized="1" xWindow="-30" yWindow="90" windowWidth="28935" windowHeight="7635" tabRatio="598" firstSheet="1" activeTab="1" xr2:uid="{2C366F51-2F60-4636-BF87-CEF333F3A3AB}"/>
  </bookViews>
  <sheets>
    <sheet name="DATOS IMPORTANTES " sheetId="13" r:id="rId1"/>
    <sheet name="INVENTARIO" sheetId="1" r:id="rId2"/>
    <sheet name="TELAS - VELOS " sheetId="14" r:id="rId3"/>
    <sheet name="ESPACIO PUBLICO - AREA METROPOL" sheetId="11" r:id="rId4"/>
    <sheet name="INSUMOS DECORACION " sheetId="6" r:id="rId5"/>
    <sheet name="INSUMOS CRISPETAS" sheetId="7" r:id="rId6"/>
    <sheet name="INSUMOS GRECA" sheetId="9" r:id="rId7"/>
    <sheet name="INSUMOS MANGO " sheetId="12" r:id="rId8"/>
    <sheet name="INSUMOS OBLEAS" sheetId="8" r:id="rId9"/>
    <sheet name="INGRESOS ANA" sheetId="4" state="hidden" r:id="rId10"/>
    <sheet name="MOB MARCADOS " sheetId="5" state="hidden" r:id="rId11"/>
  </sheets>
  <externalReferences>
    <externalReference r:id="rId12"/>
  </externalReferences>
  <definedNames>
    <definedName name="_xlnm._FilterDatabase" localSheetId="1" hidden="1">INVENTARIO!$B$8:$K$1709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9" l="1"/>
  <c r="F239" i="1"/>
  <c r="F231" i="1"/>
  <c r="F230" i="1"/>
  <c r="F229" i="1"/>
  <c r="F228" i="1"/>
  <c r="F227" i="1"/>
  <c r="F15" i="4"/>
  <c r="F14" i="4"/>
  <c r="F13" i="4"/>
  <c r="D69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CLIP</author>
  </authors>
  <commentList>
    <comment ref="D708" authorId="0" shapeId="0" xr:uid="{2D48ACCF-F827-481E-855A-8AE2FD40D882}">
      <text>
        <r>
          <rPr>
            <b/>
            <sz val="9"/>
            <color rgb="FF000000"/>
            <rFont val="Tahoma"/>
            <family val="2"/>
          </rPr>
          <t xml:space="preserve">CASA 80: </t>
        </r>
        <r>
          <rPr>
            <sz val="9"/>
            <color rgb="FF000000"/>
            <rFont val="Tahoma"/>
            <family val="2"/>
          </rPr>
          <t xml:space="preserve">SE PARTEN 7 MANTELES EN LA PARTE INFERIOR POR LA ALTURA DE LAS PATAS. 
</t>
        </r>
        <r>
          <rPr>
            <sz val="9"/>
            <color rgb="FF000000"/>
            <rFont val="Tahoma"/>
            <family val="2"/>
          </rPr>
          <t xml:space="preserve">(SON ROTOS PEQUÑOS)
</t>
        </r>
      </text>
    </comment>
    <comment ref="D716" authorId="0" shapeId="0" xr:uid="{D14CF35A-A13C-45C0-A004-A1ABA6DA2323}">
      <text>
        <r>
          <rPr>
            <b/>
            <sz val="9"/>
            <color rgb="FF000000"/>
            <rFont val="Tahoma"/>
            <family val="2"/>
          </rPr>
          <t xml:space="preserve">3 MANTELES SPANDEX 1,80 MANCHADOS  1 uno que no. 
</t>
        </r>
        <r>
          <rPr>
            <b/>
            <sz val="9"/>
            <color rgb="FF000000"/>
            <rFont val="Tahoma"/>
            <family val="2"/>
          </rPr>
          <t xml:space="preserve"> En total hay 8 manteles 1,80 pero no puedo modificar tal inventario, porque desconozco el origen de los 4 que aparecen de mas en existencia. </t>
        </r>
      </text>
    </comment>
    <comment ref="D920" authorId="0" shapeId="0" xr:uid="{3A9A1D60-FF6A-4034-BA1E-9C36A4DD5659}">
      <text>
        <r>
          <rPr>
            <b/>
            <sz val="9"/>
            <color rgb="FF000000"/>
            <rFont val="Tahoma"/>
            <family val="2"/>
          </rPr>
          <t>6 SILLAS PARTIDAS EXISTENCIA 787</t>
        </r>
      </text>
    </comment>
  </commentList>
</comments>
</file>

<file path=xl/sharedStrings.xml><?xml version="1.0" encoding="utf-8"?>
<sst xmlns="http://schemas.openxmlformats.org/spreadsheetml/2006/main" count="2992" uniqueCount="1988">
  <si>
    <t>PRODUCTO</t>
  </si>
  <si>
    <t>DESCRIPCION</t>
  </si>
  <si>
    <t>CANTIDAD</t>
  </si>
  <si>
    <t>VALOR UNI.</t>
  </si>
  <si>
    <t>VALOR. DAÑO</t>
  </si>
  <si>
    <t>MESON DE MADERA</t>
  </si>
  <si>
    <t xml:space="preserve">MESON DE MADERA </t>
  </si>
  <si>
    <t>MESA MALLA VERDE ESPINACA</t>
  </si>
  <si>
    <t>MESA MALLA NARANJA</t>
  </si>
  <si>
    <t>MESA COPA DORADA</t>
  </si>
  <si>
    <t xml:space="preserve"> TIPO BAR BLANCO </t>
  </si>
  <si>
    <t xml:space="preserve">VERDE NAVIDAD </t>
  </si>
  <si>
    <t xml:space="preserve">BLANCO </t>
  </si>
  <si>
    <t xml:space="preserve">ROJO </t>
  </si>
  <si>
    <t xml:space="preserve">NEGRO </t>
  </si>
  <si>
    <t xml:space="preserve">MALLA ROSADA </t>
  </si>
  <si>
    <t xml:space="preserve">MALLA CELESTE </t>
  </si>
  <si>
    <t xml:space="preserve">BACKING TUBULAR PASTEL </t>
  </si>
  <si>
    <t xml:space="preserve">BACKING HEXAGONAL BOBLE BLANCO </t>
  </si>
  <si>
    <t>FORRO BACKING KIANA NARANJA</t>
  </si>
  <si>
    <t>FORRO BACKING KIANA ROSADO</t>
  </si>
  <si>
    <t>FORRO BACKING KIANA AZUL REY</t>
  </si>
  <si>
    <t>FORRO BACKING KIANA DORADO</t>
  </si>
  <si>
    <t>FORRO BACKING KIANA BLANCO</t>
  </si>
  <si>
    <t>AMARILLO</t>
  </si>
  <si>
    <t>ROSADO</t>
  </si>
  <si>
    <t xml:space="preserve">AZUL REY </t>
  </si>
  <si>
    <t xml:space="preserve">BANDERA MEXICANA </t>
  </si>
  <si>
    <t xml:space="preserve">DELANTAL MEXICANO </t>
  </si>
  <si>
    <t xml:space="preserve">CAMINO ROSADO CON HOJAS </t>
  </si>
  <si>
    <t>CAMINO TROPICAL</t>
  </si>
  <si>
    <t xml:space="preserve">CAMINO FLAMINGO </t>
  </si>
  <si>
    <t xml:space="preserve">CAMINO AZUL HOJAS </t>
  </si>
  <si>
    <t xml:space="preserve">CAMINO CUADROS BLANCO CON NEGRO </t>
  </si>
  <si>
    <t>WESTINHOUSE</t>
  </si>
  <si>
    <t>SILVERCOOL</t>
  </si>
  <si>
    <t xml:space="preserve">VENTILADOR  INDUSTRIAL </t>
  </si>
  <si>
    <t xml:space="preserve">COPA </t>
  </si>
  <si>
    <t xml:space="preserve">MARTINI </t>
  </si>
  <si>
    <t xml:space="preserve">BOMBONERA </t>
  </si>
  <si>
    <t xml:space="preserve">COPA PEQUEÑA OVALADA </t>
  </si>
  <si>
    <t xml:space="preserve">PECERA VIDRIO BOCA GRANDE </t>
  </si>
  <si>
    <t xml:space="preserve">PECERA REDONDA </t>
  </si>
  <si>
    <t xml:space="preserve">PECERA CORRUGADA GRANDE - PEQUEÑA </t>
  </si>
  <si>
    <t xml:space="preserve">CANDELABROS ESVELTOS </t>
  </si>
  <si>
    <t xml:space="preserve">COMPRAR VELAS </t>
  </si>
  <si>
    <t xml:space="preserve">BASES DORADAS PARA CANDELABRO REDONDO </t>
  </si>
  <si>
    <t xml:space="preserve">CANDELABROS REDONDOS </t>
  </si>
  <si>
    <t xml:space="preserve">CANDELABRO TRASNPARENTE CON BORDE DORADO </t>
  </si>
  <si>
    <t xml:space="preserve">CANDELABRO TRASNPARENTE CON BORDE PLATEADO </t>
  </si>
  <si>
    <t xml:space="preserve">VELAS REDONDAS  PARA CANDELABROS BORDE DORADO- PLATEADO </t>
  </si>
  <si>
    <t xml:space="preserve">FLORERO EN VIDRIO BORDE DORADO (COCHI) </t>
  </si>
  <si>
    <t xml:space="preserve">FLORERO ACRILICO CON TEXTURA </t>
  </si>
  <si>
    <t xml:space="preserve">CILINDRO VIDRIO GRANDE </t>
  </si>
  <si>
    <t xml:space="preserve">BALDES NAVIDAD PUNTOS PEQUEÑO </t>
  </si>
  <si>
    <t xml:space="preserve">BALDE NAVIDAD PUNTOS GRANDES </t>
  </si>
  <si>
    <t xml:space="preserve">BALDE NAVIDAD MERY CHRISTMAS </t>
  </si>
  <si>
    <t xml:space="preserve">FLORES ARTIFICIALES </t>
  </si>
  <si>
    <t>CUBANOS (1 SIN PATA )</t>
  </si>
  <si>
    <t>SALVAVIDA PEQUEÑO</t>
  </si>
  <si>
    <t xml:space="preserve">FRASCO VIDRIO CON FIQUE </t>
  </si>
  <si>
    <t xml:space="preserve">FRASCO MAR AZUL CON ESTRELLA </t>
  </si>
  <si>
    <t xml:space="preserve">SILLA PLAYERA PEQUEÑA (ROJA - AZUL) </t>
  </si>
  <si>
    <t xml:space="preserve">SET FIESTA BLANCO CON DORADO OVALADO X 3 PISOS (DID) </t>
  </si>
  <si>
    <t>SET FIESTA BLANCO CUADRADO CON NEGRO (VEGETALES)</t>
  </si>
  <si>
    <t xml:space="preserve">SET FIESTA CUPCAKE PLATOS BLANCO CON BASE NEGRA X 3 PISOS </t>
  </si>
  <si>
    <t>BANDEJA PLASTICA DIVISIONES BLANCO</t>
  </si>
  <si>
    <t xml:space="preserve">BANDEJA PLASTICA DIVISIONES NEGRO </t>
  </si>
  <si>
    <t xml:space="preserve">BANDEJA PLASTICA DIVISIONES ROJO </t>
  </si>
  <si>
    <t xml:space="preserve">SERVILLETERO HOME NEGRO </t>
  </si>
  <si>
    <t xml:space="preserve">SERVILLTERO CUADRADO EN VIDRIO NEGRO O CUBO NEGRO VIDRIO </t>
  </si>
  <si>
    <t xml:space="preserve">MANTEQUILLERO BLANCO CON NEGRO </t>
  </si>
  <si>
    <t xml:space="preserve">CANASTA METALICA NEGRA GRANDE </t>
  </si>
  <si>
    <t xml:space="preserve">CANASTOS BLANCOS CON NEGRO SET X 3  (GRANDE: 1 - PEQUEÑOS:2 </t>
  </si>
  <si>
    <t xml:space="preserve">PLATO BASE NEGRO GRANDE </t>
  </si>
  <si>
    <t xml:space="preserve">PLATO BASE MEDIANO RAYAS B/N </t>
  </si>
  <si>
    <t xml:space="preserve">PLATO BASE PEQUEÑO B/N </t>
  </si>
  <si>
    <t xml:space="preserve">TOALLA CUADROS NEGRA CON BLANCO </t>
  </si>
  <si>
    <t xml:space="preserve">TOALLA BLANCA </t>
  </si>
  <si>
    <t>SET CUBIERTOS  PAQ X 16 AMARILLO</t>
  </si>
  <si>
    <t xml:space="preserve">SET CUBIERTOS  PAQ X 16 GRIS </t>
  </si>
  <si>
    <t xml:space="preserve">SET CUBIERTOS  PAQ X 16 NARANJA </t>
  </si>
  <si>
    <t xml:space="preserve">TOTUMA MINI </t>
  </si>
  <si>
    <t xml:space="preserve">TOTUMA PEQ </t>
  </si>
  <si>
    <t xml:space="preserve">TOTUMA REALES </t>
  </si>
  <si>
    <t xml:space="preserve">FLORERO BLANCO RAYAS GRANDE </t>
  </si>
  <si>
    <t xml:space="preserve">FLORERO PEQUEÑO BLANCO BEIGE </t>
  </si>
  <si>
    <t xml:space="preserve">BANDEJA NAVIDAD CUADRADA RENOS </t>
  </si>
  <si>
    <t xml:space="preserve">CANASTA NEGRA NAVIDAD CON FORRO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</si>
  <si>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EWS</t>
  </si>
  <si>
    <t xml:space="preserve"> 2,40CM LARGO X 60 CM DE ANCHO</t>
  </si>
  <si>
    <t xml:space="preserve">2,40CM LARGO X 75CM DE ANCHO </t>
  </si>
  <si>
    <t xml:space="preserve">1,80CM LARGO X 60CM DE ANCHO </t>
  </si>
  <si>
    <t xml:space="preserve">1,20CM LARGO X 60 CM DE ANCHO </t>
  </si>
  <si>
    <t>MESA CRUZADA DORADA</t>
  </si>
  <si>
    <t>MESA WONDER NEGRA</t>
  </si>
  <si>
    <t xml:space="preserve">MESA FLORENTINA BLANCA </t>
  </si>
  <si>
    <t>MESA TIPO JARRA ROSADA</t>
  </si>
  <si>
    <t>CILINDRO METALICO ROJO</t>
  </si>
  <si>
    <t>CILINDRO ACRILICO</t>
  </si>
  <si>
    <t>CON BRAZO INFANTIL</t>
  </si>
  <si>
    <t xml:space="preserve">TANQUE DE BASURA ROJO </t>
  </si>
  <si>
    <t xml:space="preserve">MICROFONOS ALAMBRICOS </t>
  </si>
  <si>
    <t xml:space="preserve">MICROFONOS INAMBRICOS </t>
  </si>
  <si>
    <t xml:space="preserve">CONSOLA 6 CANALES </t>
  </si>
  <si>
    <t>CABINAS DE SONIDO PROFESIONAL</t>
  </si>
  <si>
    <t>2X2</t>
  </si>
  <si>
    <t>CABINAS DE SONIDO BLUETOOT</t>
  </si>
  <si>
    <t>4X4</t>
  </si>
  <si>
    <t xml:space="preserve">BACKING REDONDO  ALMENDRA </t>
  </si>
  <si>
    <t xml:space="preserve">BACKING MICKEY  MOUSE </t>
  </si>
  <si>
    <t xml:space="preserve">REPISA NEGRA MICKEY MOUSE </t>
  </si>
  <si>
    <t xml:space="preserve">NUMERO LED 5 </t>
  </si>
  <si>
    <t>NUMERO LED 1</t>
  </si>
  <si>
    <t xml:space="preserve">MUÑECOS 3D </t>
  </si>
  <si>
    <t>JIRAFA</t>
  </si>
  <si>
    <t>TIGRE</t>
  </si>
  <si>
    <t xml:space="preserve">RELLENO DE COJIN </t>
  </si>
  <si>
    <t xml:space="preserve">MANTEL REDONDO SPANDEX BLANCO </t>
  </si>
  <si>
    <t>FECHA</t>
  </si>
  <si>
    <t xml:space="preserve">NOTA : EL DIA 05/09/23 RECIBO LOS 3 MANTELES RESTANTES </t>
  </si>
  <si>
    <t>FORRO PARA COHOLCHON</t>
  </si>
  <si>
    <t xml:space="preserve">NOTA : APTO.SÑR CAROLINA </t>
  </si>
  <si>
    <t>TOTAL DE 1.700.000</t>
  </si>
  <si>
    <t>SE ABONO EL DIA 05/09/2023 UNA SUMA DE $1.000,000</t>
  </si>
  <si>
    <t>PAGO PENDIENTE $700,000</t>
  </si>
  <si>
    <t xml:space="preserve">90 DE ALTO </t>
  </si>
  <si>
    <t xml:space="preserve">85 DE ALTO - 1,40 DE LARGO - 70 DE ANCHO </t>
  </si>
  <si>
    <t xml:space="preserve">2 MTRS </t>
  </si>
  <si>
    <t xml:space="preserve">80 VASOS </t>
  </si>
  <si>
    <t>GRECA METALICA</t>
  </si>
  <si>
    <t xml:space="preserve">TAPIZ OVALADO ALMENDRA </t>
  </si>
  <si>
    <t xml:space="preserve">MEDIA LUNA AZUL CLARO CON LINEAS DORADAS </t>
  </si>
  <si>
    <t xml:space="preserve">MEDIA LUNA AZUL OSCURO CON LINEAS DORADAS </t>
  </si>
  <si>
    <t xml:space="preserve">MEDIA LUNA  COMPLETAMETE ROSADO </t>
  </si>
  <si>
    <t xml:space="preserve">CUP  LILA </t>
  </si>
  <si>
    <t xml:space="preserve">BASE HEXAGONAL AMARILLO PASTEL </t>
  </si>
  <si>
    <t xml:space="preserve">BASE HEXAGONAL VERDE MENTA </t>
  </si>
  <si>
    <t>BASE JARRA DORADA CROMADA</t>
  </si>
  <si>
    <t xml:space="preserve">BASE JARRA DORADO MATE </t>
  </si>
  <si>
    <t xml:space="preserve">BASE ARAÑA DORADO CROMADO </t>
  </si>
  <si>
    <t>BASE RECTANGULAR CELESTE</t>
  </si>
  <si>
    <t xml:space="preserve">BASE RECTANGULAR VERDE ESPINACA </t>
  </si>
  <si>
    <t>BASE RECTANGULAR BLANCO</t>
  </si>
  <si>
    <t xml:space="preserve">BASE RECTANGULAR DORADO MATE </t>
  </si>
  <si>
    <t xml:space="preserve">BASE RECTANGULAR FUCSIA </t>
  </si>
  <si>
    <t xml:space="preserve">BASE RECTANGULAR NARANJA </t>
  </si>
  <si>
    <t xml:space="preserve">BASE RECTANGULAR ROJA  </t>
  </si>
  <si>
    <t xml:space="preserve">BASE RECTANGULAR AZUL BEBE </t>
  </si>
  <si>
    <t xml:space="preserve">TIRSA DORADO CROMADO </t>
  </si>
  <si>
    <t xml:space="preserve">PASABOCAS RAINDOW BLANCO </t>
  </si>
  <si>
    <t xml:space="preserve">PASABOCAS RAINDOW CAFÉ </t>
  </si>
  <si>
    <t>COJINES PARA SILLA INFANTIL  ROSADO</t>
  </si>
  <si>
    <t xml:space="preserve">COJINES PARA SILLA INFANTIL  AZUL  CELESTE </t>
  </si>
  <si>
    <t>BASE TORTA MADERA PLATEADA X 4</t>
  </si>
  <si>
    <t>BASE TORTA MADERA DORADA X 3</t>
  </si>
  <si>
    <t>BASE TORTA MADERA  AZUL CELESTE X 4</t>
  </si>
  <si>
    <t>BASE TORTA MADERA  ROSADA X 3</t>
  </si>
  <si>
    <t xml:space="preserve">CARPAS BLANCAS </t>
  </si>
  <si>
    <t>MANTEL SENCILLO 2,40</t>
  </si>
  <si>
    <t>MANTEL SPANDEX 2,40</t>
  </si>
  <si>
    <t>MANTEL SPANDEX 1,20</t>
  </si>
  <si>
    <t>MANTEL SPANDEX 240</t>
  </si>
  <si>
    <t>MANTEL REDONDO SPANDEX</t>
  </si>
  <si>
    <t>NARANJA</t>
  </si>
  <si>
    <t>MANTEL SPANDEX  1,80</t>
  </si>
  <si>
    <t>MANTEL SPANDEX 1,80</t>
  </si>
  <si>
    <t xml:space="preserve">VERDE ALCALDIA </t>
  </si>
  <si>
    <t>LILA</t>
  </si>
  <si>
    <t>DORADO</t>
  </si>
  <si>
    <t>MANTEL  REDONDO LUJO</t>
  </si>
  <si>
    <t xml:space="preserve">ROSADO </t>
  </si>
  <si>
    <t xml:space="preserve">AZUL </t>
  </si>
  <si>
    <t xml:space="preserve">BEIGE </t>
  </si>
  <si>
    <t xml:space="preserve">ORO ROSA </t>
  </si>
  <si>
    <t>PLATEADO</t>
  </si>
  <si>
    <t xml:space="preserve">2,40 (LARGO2,75X280 DE ANCHO) BEIGE </t>
  </si>
  <si>
    <t xml:space="preserve">CAMINO ROJO DAMASCO </t>
  </si>
  <si>
    <t xml:space="preserve">PAGADO </t>
  </si>
  <si>
    <t xml:space="preserve">SERVILLETAS  ROJO DAMASCO </t>
  </si>
  <si>
    <t xml:space="preserve">SERVILLETAS ROSADO CON HOJAS </t>
  </si>
  <si>
    <t>SERVILLETAS  TROPICAL</t>
  </si>
  <si>
    <t xml:space="preserve">SERVILLETAS FLAMINGO </t>
  </si>
  <si>
    <t xml:space="preserve">SERVILLETAS  AZUL HOJAS </t>
  </si>
  <si>
    <t xml:space="preserve">SERVILLETAS  CUADROS BLANCO CON NEGRO </t>
  </si>
  <si>
    <t xml:space="preserve">MUÑECA CATRICA </t>
  </si>
  <si>
    <t xml:space="preserve">MUÑECA MEXICANA </t>
  </si>
  <si>
    <t xml:space="preserve">CALAVERA MEXICANA NEGRA GRANDE </t>
  </si>
  <si>
    <t xml:space="preserve">CALAVERA MEXICANA COLOR PEQUEÑA </t>
  </si>
  <si>
    <t xml:space="preserve">SOMBRERO MEXICANO MINI </t>
  </si>
  <si>
    <t xml:space="preserve">SOMBRERO PAJA MEXICANO </t>
  </si>
  <si>
    <t xml:space="preserve">CANASTO MEXICANO GRANDE COLORES </t>
  </si>
  <si>
    <t xml:space="preserve">CANASTO MEXICANO PEQUEÑO COLORES </t>
  </si>
  <si>
    <t xml:space="preserve">CAMINO MEXICANO </t>
  </si>
  <si>
    <t xml:space="preserve">CANASTO MIMBRE GRANDE </t>
  </si>
  <si>
    <t xml:space="preserve">CANASTO MIMBRE PEQUEÑO </t>
  </si>
  <si>
    <t>MANTELES NEGROS REDONDOS SPANDEX</t>
  </si>
  <si>
    <t>MANTELES BLANCOS REDONDO SPANDEX</t>
  </si>
  <si>
    <t>VALOR U.N</t>
  </si>
  <si>
    <t xml:space="preserve">VARLOR TOTAL </t>
  </si>
  <si>
    <t>$             50.000,00</t>
  </si>
  <si>
    <t>$             30.000,00</t>
  </si>
  <si>
    <t>$             20.000,00</t>
  </si>
  <si>
    <t>$             80.000,00</t>
  </si>
  <si>
    <t>$              80.000,00</t>
  </si>
  <si>
    <t>PENDIENTE</t>
  </si>
  <si>
    <t>-</t>
  </si>
  <si>
    <t>ENTREGAS SEÑORA ANA</t>
  </si>
  <si>
    <t xml:space="preserve">DULCES- ARCOIRIS </t>
  </si>
  <si>
    <t>BLANCO CON NEGRO</t>
  </si>
  <si>
    <t>60 VASOS</t>
  </si>
  <si>
    <t xml:space="preserve">VENTILADOR INDUSTRIALL </t>
  </si>
  <si>
    <t>PARALES</t>
  </si>
  <si>
    <t>ELEFANTE</t>
  </si>
  <si>
    <t>CONSOLA 12 CANALES</t>
  </si>
  <si>
    <t>CUP ROSADA</t>
  </si>
  <si>
    <t>CUP AZUL BEBE</t>
  </si>
  <si>
    <t>VERDE MENTA</t>
  </si>
  <si>
    <t xml:space="preserve">COJIN LILA </t>
  </si>
  <si>
    <t>COJIN ROSADO</t>
  </si>
  <si>
    <t>COJIN PALO ROSA</t>
  </si>
  <si>
    <t>COJIN DORADO FLORES</t>
  </si>
  <si>
    <t>COJIN ARAVESCO BLANCO</t>
  </si>
  <si>
    <t>COJIN ARAVESCO PLATEADO</t>
  </si>
  <si>
    <t xml:space="preserve">COJIN ARAVESCO BLANCO CON NEGRO </t>
  </si>
  <si>
    <t>FORRO BACKING KIANA PALO ROSA</t>
  </si>
  <si>
    <t>FORRO BACKING KIANA VERDE SELVA</t>
  </si>
  <si>
    <t>SILLA PLASTICA RIMAX  KIDDY ROJA</t>
  </si>
  <si>
    <t>SILLA PLASTICA RIMAX KIDDY ROSADO</t>
  </si>
  <si>
    <t xml:space="preserve">INFANTIL </t>
  </si>
  <si>
    <t>SILLAS PLASTICAS RIMAX FUCSIA</t>
  </si>
  <si>
    <t>SILLAS PLASTICAS RIMAX MORADO</t>
  </si>
  <si>
    <t>SILLAS PLASTICAS RIMAX AMARILLO</t>
  </si>
  <si>
    <t>SILLAS PLASTICAS RIMAX ROJO</t>
  </si>
  <si>
    <t xml:space="preserve">SILLA PLASTICA RIMAX ROSADA </t>
  </si>
  <si>
    <t xml:space="preserve">80 CM </t>
  </si>
  <si>
    <t xml:space="preserve">70 CM </t>
  </si>
  <si>
    <t>MESA PEGABLE ROSADA PEQ</t>
  </si>
  <si>
    <t xml:space="preserve">MESA HEXAGONAL TUBO DORADO </t>
  </si>
  <si>
    <t xml:space="preserve">60 CM </t>
  </si>
  <si>
    <t xml:space="preserve">BACKING REDONDO  BLANCO </t>
  </si>
  <si>
    <t>BASE DE TORTA CRISTAL AZUL CELESTE</t>
  </si>
  <si>
    <t xml:space="preserve">MICKEY MOUSE 3D </t>
  </si>
  <si>
    <t xml:space="preserve">SEPARADORES DE FILA CON LAZO </t>
  </si>
  <si>
    <t xml:space="preserve">NEGROS </t>
  </si>
  <si>
    <t xml:space="preserve">SEPARADORES DE FILA CON REATA </t>
  </si>
  <si>
    <t xml:space="preserve">ACERO INOXIDABLE </t>
  </si>
  <si>
    <t>DORADO LISO CLARO</t>
  </si>
  <si>
    <t xml:space="preserve">SILLAS CHIVARY </t>
  </si>
  <si>
    <t>CON COJINES</t>
  </si>
  <si>
    <t>CABUYA GRUESA</t>
  </si>
  <si>
    <t>10 METROS</t>
  </si>
  <si>
    <t>15 METROS</t>
  </si>
  <si>
    <t>NEGRO</t>
  </si>
  <si>
    <t>FORRO SILLA SPANDEX</t>
  </si>
  <si>
    <t>FORRO SILLA SPANDEX NIÑOS</t>
  </si>
  <si>
    <t>MANTELES SPANDEX NEGROS 1.80</t>
  </si>
  <si>
    <t>$2.140.000</t>
  </si>
  <si>
    <t xml:space="preserve">FORROS DE SILLAS NARANJA </t>
  </si>
  <si>
    <t>ABONO: $1.500.000</t>
  </si>
  <si>
    <t>FORROS DE SILLAS FUCSIA NEON</t>
  </si>
  <si>
    <t>SALDO: $640.000</t>
  </si>
  <si>
    <t>FORROS DE SILLAS VERDE FUERTE</t>
  </si>
  <si>
    <t>TAPAS HUECOS FUCSIA</t>
  </si>
  <si>
    <t xml:space="preserve">$372.000  </t>
  </si>
  <si>
    <t>MUÑECOS MARIMONDAS</t>
  </si>
  <si>
    <t>RELLENO VERDES</t>
  </si>
  <si>
    <t>RELLENO BLANCOS</t>
  </si>
  <si>
    <t xml:space="preserve">MENOS 1 DAÑADO </t>
  </si>
  <si>
    <t>SERVILLETEROS DORADO X6 (2 CAJAS)</t>
  </si>
  <si>
    <t>SEÑORA CAROLINA</t>
  </si>
  <si>
    <t>SERVILLETEROS PLATEADOS-DORADO</t>
  </si>
  <si>
    <t>SERVILLETAS COLOR ROJO</t>
  </si>
  <si>
    <t>CEBRA</t>
  </si>
  <si>
    <t xml:space="preserve">FORROS DE SILLA COLOR AZUL REY </t>
  </si>
  <si>
    <t>FORRO DE SILLA COLOR MORADO</t>
  </si>
  <si>
    <t>MANTELES REDONDOS COLOR AZUL REY</t>
  </si>
  <si>
    <t xml:space="preserve">MANTEL ARAVESCO </t>
  </si>
  <si>
    <t xml:space="preserve">FORRO DE SILLA ADULTO COLOR NEGRO </t>
  </si>
  <si>
    <t>MANTEL DORADO</t>
  </si>
  <si>
    <t xml:space="preserve">OVALADO LAPIDA COMPLETAMETE ALMENDRAS </t>
  </si>
  <si>
    <t xml:space="preserve">MANTEL MEXICANO CUADROS MARRONES Y VERDES  </t>
  </si>
  <si>
    <t>MANTELES TAPA HUECOS</t>
  </si>
  <si>
    <t>FORROS SILLA SPANDEX</t>
  </si>
  <si>
    <t>SERVILLETEROS DORADO X6</t>
  </si>
  <si>
    <t>SERVILLETEROS MEXICANOS AJI</t>
  </si>
  <si>
    <t xml:space="preserve">SERVILLETAS MEXICANAS 6 X COLOR </t>
  </si>
  <si>
    <t>SERVILLETAS DE TELA</t>
  </si>
  <si>
    <t>COMBO SOBREMANTEL- MANTEL BASE</t>
  </si>
  <si>
    <t>BLANCO</t>
  </si>
  <si>
    <t>SALDO RESTANTE $12.000  (PAGADO)</t>
  </si>
  <si>
    <t>$2.118.000 ( PAGADO)</t>
  </si>
  <si>
    <t>(PAGADO)</t>
  </si>
  <si>
    <t>BASE TORTA MADERA FUCSIA X 3</t>
  </si>
  <si>
    <t xml:space="preserve">MESA INFANTIL PLASTICA  VERDE FUERTE </t>
  </si>
  <si>
    <t>MAQUINA DE CRISPETA</t>
  </si>
  <si>
    <t>MAQUINA DE ALGODÓN</t>
  </si>
  <si>
    <t xml:space="preserve">FLORERO VIDRIO CORRUGADO POR BORDE SUPERIOR </t>
  </si>
  <si>
    <t>GRAMA SINTETICA VERDE</t>
  </si>
  <si>
    <t>SALVAVIDAS INFABLES PLASTICAS</t>
  </si>
  <si>
    <t>SALVAVIDA ESTRELLAS FUCSIA</t>
  </si>
  <si>
    <t>SALVAVIDA FIGURA OSO</t>
  </si>
  <si>
    <t>SALVAVIDAS REDONDAS</t>
  </si>
  <si>
    <t>SALVAVIDAS GRANDES LILA Y ROSADO</t>
  </si>
  <si>
    <t>MANTELES RECTANGULARES SPANDEX BLANCOS 2.40</t>
  </si>
  <si>
    <t>MANTELES RECTANGULARES SPANDEX 2.40 AZUL REY</t>
  </si>
  <si>
    <t>BADEJAS FIGURAS</t>
  </si>
  <si>
    <t>BADEJA DECORATIVA BLANCA EN PIEDRA</t>
  </si>
  <si>
    <t>BANDEJA LAMINA RECTANGULAR</t>
  </si>
  <si>
    <t>BANDEJA NAVIDAD CUADRADO RENO</t>
  </si>
  <si>
    <t>BANDEJA REDONDA PLASTICA CON DIVISIONES</t>
  </si>
  <si>
    <t>BANDEJA PEQUEÑA MEXICANA</t>
  </si>
  <si>
    <t>BANDEJAS FIGURAS ROSADAS</t>
  </si>
  <si>
    <t>35CMX35CM</t>
  </si>
  <si>
    <t>36.6CM LARGO X17CM ANCHO</t>
  </si>
  <si>
    <t>30CMX30XCM</t>
  </si>
  <si>
    <t>BLANCO , NEGRA, ROJA 27CM</t>
  </si>
  <si>
    <t>32.5CM ANCHO X22CM LARGO</t>
  </si>
  <si>
    <t>TERMOS Y AGENDAS</t>
  </si>
  <si>
    <t>AGENDA ROJA</t>
  </si>
  <si>
    <t>AGENDA VERDE</t>
  </si>
  <si>
    <t>TERMO ROJO</t>
  </si>
  <si>
    <t>TERMO AMARILLO</t>
  </si>
  <si>
    <t>CAMARA CERAMICA ROSADA</t>
  </si>
  <si>
    <t>.</t>
  </si>
  <si>
    <t>LAPICEROS  X50</t>
  </si>
  <si>
    <t>MANILLAS (PROYECTOS)</t>
  </si>
  <si>
    <t>20 BOLSAS A 1.000</t>
  </si>
  <si>
    <t>JOSE SE LLEVA LAS 55</t>
  </si>
  <si>
    <t>DIEGO SE LLEVA LAS 55</t>
  </si>
  <si>
    <t>QUEDAN 697</t>
  </si>
  <si>
    <t>MESA MINI TATY ROSADA</t>
  </si>
  <si>
    <t>MESA TATY LILA</t>
  </si>
  <si>
    <t>MANTELES SPANDEX RECTANGULARES BLANCOS 2.40</t>
  </si>
  <si>
    <t>FANDILLIN BLANCOS</t>
  </si>
  <si>
    <t>QUEDAN 25-40-0</t>
  </si>
  <si>
    <t>QUEDAN 25-0</t>
  </si>
  <si>
    <t>TERMOS BLANCOS ALCALDIA</t>
  </si>
  <si>
    <t xml:space="preserve"> QUEDAN 600</t>
  </si>
  <si>
    <t xml:space="preserve"> $980.000 (PAGADO)</t>
  </si>
  <si>
    <t>FORROS FUCSIAS</t>
  </si>
  <si>
    <t>FORROS NARANJAS</t>
  </si>
  <si>
    <t>FORROS AMARILLOS</t>
  </si>
  <si>
    <t xml:space="preserve">FORROS VERDES </t>
  </si>
  <si>
    <t>FORROS AZUL REY</t>
  </si>
  <si>
    <t>FORROS FUCSIA NEON</t>
  </si>
  <si>
    <t>FORROS MORADOS</t>
  </si>
  <si>
    <t>FORROS NARANJA NEON</t>
  </si>
  <si>
    <t>FORROS FUCSIA</t>
  </si>
  <si>
    <t>FORROS ROJOS</t>
  </si>
  <si>
    <t>TOTAL$3.800.000</t>
  </si>
  <si>
    <t>ABONO:$2.000.000</t>
  </si>
  <si>
    <t>RESTANTE:$1.800.000</t>
  </si>
  <si>
    <t xml:space="preserve">ITEM </t>
  </si>
  <si>
    <t xml:space="preserve">DESCRIPCION </t>
  </si>
  <si>
    <t xml:space="preserve">TIPO DE MARCA </t>
  </si>
  <si>
    <t>FORMA</t>
  </si>
  <si>
    <t xml:space="preserve">MOBILIARIOS MARCADOS. </t>
  </si>
  <si>
    <t>SILLAS GHOST</t>
  </si>
  <si>
    <t>SILLAS INFANTIL CON BRAZO</t>
  </si>
  <si>
    <t xml:space="preserve">SILLAS INFANTIL KIDDY </t>
  </si>
  <si>
    <t>C80</t>
  </si>
  <si>
    <t>EQ. MOTORTOOL</t>
  </si>
  <si>
    <t>MESONES DE MADERA 2,40/ 1,80/ 1,20</t>
  </si>
  <si>
    <t xml:space="preserve">LOGO DE CIONCARIBE </t>
  </si>
  <si>
    <t xml:space="preserve">SPRAY NEGRO </t>
  </si>
  <si>
    <t xml:space="preserve">MESAS REDONDAS </t>
  </si>
  <si>
    <t xml:space="preserve">MESA MALETA </t>
  </si>
  <si>
    <t xml:space="preserve">SILLAS VANIPLAS ADULTO SIN BRAZO </t>
  </si>
  <si>
    <t>CON STIKER MANUESCRITO</t>
  </si>
  <si>
    <t>MENOS 1 SILLA LUXURY BLANCA PARTIDA EN EL EVNETO DEL PRESIDENTE 07/05/2024</t>
  </si>
  <si>
    <t xml:space="preserve">CANTIDAD </t>
  </si>
  <si>
    <t xml:space="preserve">CANASTO FIBRA NATURAL CON TAPA </t>
  </si>
  <si>
    <t xml:space="preserve">CESTAS ALMA CELESTES GRANDES </t>
  </si>
  <si>
    <t>CESTAS ALMA CELESTES PEQUEÑA</t>
  </si>
  <si>
    <t xml:space="preserve">CESTAS ALMA GRIS GRANDE </t>
  </si>
  <si>
    <t xml:space="preserve">CESTAS ALMA GRIS PEQUEÑA </t>
  </si>
  <si>
    <t xml:space="preserve">TABLERO CON LETRAS MOVIBLES </t>
  </si>
  <si>
    <t xml:space="preserve"> </t>
  </si>
  <si>
    <t>POLISOMBRA  NEGRA</t>
  </si>
  <si>
    <t xml:space="preserve">4X4 </t>
  </si>
  <si>
    <t>FALTA 1 VELA</t>
  </si>
  <si>
    <t xml:space="preserve">3 SIN VELA </t>
  </si>
  <si>
    <t>CALLE 72</t>
  </si>
  <si>
    <t xml:space="preserve">PECERA PEQUEÑA </t>
  </si>
  <si>
    <t>SALVAVIDA GRANDE</t>
  </si>
  <si>
    <t xml:space="preserve">TASAS DE BARRO AMARILLO </t>
  </si>
  <si>
    <t>TASAS DE BARRO VERDE CLARO</t>
  </si>
  <si>
    <t xml:space="preserve">TASAS DE BARRO AZUL </t>
  </si>
  <si>
    <t xml:space="preserve">BASE TORTA CRISTAL PEQUEÑA ROSADA </t>
  </si>
  <si>
    <t>BASE TORTA MADERA BLANCO X 5</t>
  </si>
  <si>
    <t xml:space="preserve">vaso wisky </t>
  </si>
  <si>
    <t xml:space="preserve">vaso gaseosa </t>
  </si>
  <si>
    <t xml:space="preserve">copa de agua </t>
  </si>
  <si>
    <t xml:space="preserve">taza de café </t>
  </si>
  <si>
    <t xml:space="preserve">cervecero </t>
  </si>
  <si>
    <t xml:space="preserve">INFLADOR MANUAL SEMPERTEX </t>
  </si>
  <si>
    <t xml:space="preserve">INFLADOR DE GLOBOS ELECTRICO </t>
  </si>
  <si>
    <t xml:space="preserve">BRILLO PARA GLOBOS </t>
  </si>
  <si>
    <t xml:space="preserve">HI GLOW </t>
  </si>
  <si>
    <t xml:space="preserve">GRAPADORA NEUMATICA </t>
  </si>
  <si>
    <t xml:space="preserve">REPUESTOS DE GRAPAS COMPLETO </t>
  </si>
  <si>
    <t xml:space="preserve">REPUESTOS DE GRAPAS EMPEZADO </t>
  </si>
  <si>
    <t xml:space="preserve">PISTOLAS DE SILICONA GARNDES </t>
  </si>
  <si>
    <t xml:space="preserve">RIZADOR </t>
  </si>
  <si>
    <t xml:space="preserve">CHINCHES X 50 AMARILLO </t>
  </si>
  <si>
    <t xml:space="preserve">CARRETE NAYLON DELGADO 25 CALIBRE </t>
  </si>
  <si>
    <t xml:space="preserve">MADEJA DE HILO ATATODO 130 GR </t>
  </si>
  <si>
    <t xml:space="preserve">MADEJA DE HILO ATATODO 250 MTRS AZUL </t>
  </si>
  <si>
    <t xml:space="preserve">INSUMOS DE DECORACION </t>
  </si>
  <si>
    <t xml:space="preserve">AVISO MDF FELIZ ANIVERSARIO </t>
  </si>
  <si>
    <t xml:space="preserve">AVISO MDF MI BAUTIZO </t>
  </si>
  <si>
    <t xml:space="preserve">RECOGEDOR </t>
  </si>
  <si>
    <t xml:space="preserve">SALEROS PEQUEÑOS </t>
  </si>
  <si>
    <t xml:space="preserve">SET X2 DISPENSADOR DE CRISPETA (G /M) </t>
  </si>
  <si>
    <t>PALOS DE CHUZO 30 CM  X 100 UNI</t>
  </si>
  <si>
    <t xml:space="preserve">3  PAQUETES </t>
  </si>
  <si>
    <t xml:space="preserve">ACEITE 420 ML </t>
  </si>
  <si>
    <t>JUEGO CUCHARAS MEDIDORES  X 5 Y X 6</t>
  </si>
  <si>
    <t>2 JUEGOS</t>
  </si>
  <si>
    <t xml:space="preserve">SALDERO </t>
  </si>
  <si>
    <t xml:space="preserve">BOLSAS DE CRISPETAS </t>
  </si>
  <si>
    <t xml:space="preserve">PONCETIAS </t>
  </si>
  <si>
    <t xml:space="preserve">TERMOS GRANDES ROJOS </t>
  </si>
  <si>
    <t xml:space="preserve">TERMOS PEQUEÑOS ROJOS </t>
  </si>
  <si>
    <t>PONCETIAS PEQUEÑA</t>
  </si>
  <si>
    <t xml:space="preserve">JARRON ROSADO GRANDE </t>
  </si>
  <si>
    <t xml:space="preserve">SOPORTE PARA DISPENSADOR </t>
  </si>
  <si>
    <t xml:space="preserve">JAULA BLANCA CON BOLAS PLATEDA </t>
  </si>
  <si>
    <t>JARRON PLATEADO DE PISO (ADORNO LIORNA)</t>
  </si>
  <si>
    <t>CENTRO DE MESA PLATEADO (ADORNO LIORNA)</t>
  </si>
  <si>
    <t>ESTRELLA PLATEADA (ADORNO LIORNA)</t>
  </si>
  <si>
    <t>BASE ROSADA RECTANGULAR (DECORADIVINO)</t>
  </si>
  <si>
    <t xml:space="preserve">BASE PARA PLATOS COLOR CRUDO </t>
  </si>
  <si>
    <t>ESTRELLAS ROJA Y BLANCA (2)</t>
  </si>
  <si>
    <t xml:space="preserve">MEGAFONOS NUEVOS GRANDES </t>
  </si>
  <si>
    <t xml:space="preserve">MEGAFONOS NUEVOS PEQUEÑOS </t>
  </si>
  <si>
    <t xml:space="preserve">MEGAFONOS VIEJOS GRANDES </t>
  </si>
  <si>
    <t xml:space="preserve">BOLAS DE COLORES </t>
  </si>
  <si>
    <t xml:space="preserve">MANTEL SENCILLO BLANCO  PARA MESA RIMAX </t>
  </si>
  <si>
    <t xml:space="preserve">MANTEL SATINADO BLANCO 130X140 PARA MESA RIMAX </t>
  </si>
  <si>
    <t xml:space="preserve">MANTEL SATINADO BLANCO 60X60 </t>
  </si>
  <si>
    <t xml:space="preserve">MANTEL SATINADO BLANCO 140 X 140 PARA MESA RIMAX </t>
  </si>
  <si>
    <t xml:space="preserve">MANTEL SATINADO BLANCO 90 X 80 </t>
  </si>
  <si>
    <t xml:space="preserve">PICNI ANCHETA </t>
  </si>
  <si>
    <t xml:space="preserve">MANTEL SATINADO BLANCO 50X58 </t>
  </si>
  <si>
    <t>CARRITO RUEDAS ROSADO (DECORADIVINO)</t>
  </si>
  <si>
    <t xml:space="preserve">DISPENSADOR PLASTICO </t>
  </si>
  <si>
    <t xml:space="preserve">DAÑADO </t>
  </si>
  <si>
    <t xml:space="preserve">CUBANOS </t>
  </si>
  <si>
    <t xml:space="preserve">PESA </t>
  </si>
  <si>
    <t xml:space="preserve">ROLLOS DE BELCRO NEGRO </t>
  </si>
  <si>
    <t xml:space="preserve">BASES CUADRADAS DORADA </t>
  </si>
  <si>
    <t xml:space="preserve">BASES CUADRADAS PLATEADO </t>
  </si>
  <si>
    <t xml:space="preserve">LUCES CON PILAS </t>
  </si>
  <si>
    <t xml:space="preserve">BLANCAS </t>
  </si>
  <si>
    <t xml:space="preserve">NEGRAS </t>
  </si>
  <si>
    <t xml:space="preserve">FUCSIA </t>
  </si>
  <si>
    <t xml:space="preserve">MESA MINI TATY LILA </t>
  </si>
  <si>
    <t xml:space="preserve">MESA DE CENTRO TIPO TAMBOR PEQUEÑA </t>
  </si>
  <si>
    <t xml:space="preserve">MESA ACAPULCO LIVING </t>
  </si>
  <si>
    <t>25CM ANCHO X 20.5CM LARGO</t>
  </si>
  <si>
    <t>25CM ANCHO X 20CM LARGO</t>
  </si>
  <si>
    <t>26.5CM ANCHO X 19.5CM ALTURA</t>
  </si>
  <si>
    <t>26CM ANCHO X 14CM ALTURA</t>
  </si>
  <si>
    <t>26.5CM ANCHO X 19CM ALTURA</t>
  </si>
  <si>
    <t>26CM ANCHO X 15CM DE ALTURA</t>
  </si>
  <si>
    <t>26CM ANCHO X 25.5CM DE ALTURA</t>
  </si>
  <si>
    <t xml:space="preserve">BASE CUPCAKE HEXAGONAL ROSADA </t>
  </si>
  <si>
    <t xml:space="preserve">BASE CUPCAKE HEXAGONAL  FUCSIA </t>
  </si>
  <si>
    <t xml:space="preserve">BASE CUPCAKE HEXAGONAL AZUL BEBE </t>
  </si>
  <si>
    <t xml:space="preserve">BASE CUPCAKE HEXAGONAL ALMENDRA </t>
  </si>
  <si>
    <t>26CM ANCHO X 12CM LARGO - 44CM ALTURA</t>
  </si>
  <si>
    <t xml:space="preserve">BASE RAINBOW RECTANGULAR ROSADA </t>
  </si>
  <si>
    <t>BASE RAINBOW REDONDA LILA</t>
  </si>
  <si>
    <t>28.2CM LARDO X 18.3CM ANCHO X 20CM ALTURA</t>
  </si>
  <si>
    <t xml:space="preserve">BASE RECTANGULAR  VIDRIO CELESTE </t>
  </si>
  <si>
    <t xml:space="preserve">BASE RECTANGULAR  VIDRIO DORADO MATE </t>
  </si>
  <si>
    <t xml:space="preserve">BASE RECTANGULAR  VIDRIO ROJO </t>
  </si>
  <si>
    <t>BASE RECTANGULAR VIDRIO BLANCA</t>
  </si>
  <si>
    <t>25CM LARGO X 17CM ANCHO X 10CM ALTURA</t>
  </si>
  <si>
    <t>25CM ANCHO X 26CM ALTURA</t>
  </si>
  <si>
    <t>26.5CM ANCHO X 25CM ALTURA</t>
  </si>
  <si>
    <t>26CM ANCHO POR 18 DE ALTO</t>
  </si>
  <si>
    <t>28CM LARGO X 18.3 ANCHO X 13.5CM ALTURA</t>
  </si>
  <si>
    <t xml:space="preserve">BASE COPA DORADO CROMADO </t>
  </si>
  <si>
    <t xml:space="preserve">CARRO CANDY BLANCO </t>
  </si>
  <si>
    <t xml:space="preserve">VASO CERVECERO </t>
  </si>
  <si>
    <t xml:space="preserve">ALFOMBRA REDONDA </t>
  </si>
  <si>
    <t>BASE TRES NIVELES ESPEJO</t>
  </si>
  <si>
    <t xml:space="preserve">CAVAS NUEVAS </t>
  </si>
  <si>
    <t xml:space="preserve">MARIMONDAS </t>
  </si>
  <si>
    <t>SERVILLETAS NUEVAS (YILIAM)</t>
  </si>
  <si>
    <t>18CM X 18CM</t>
  </si>
  <si>
    <t xml:space="preserve">CENTRO DE MESA ARO GRIS </t>
  </si>
  <si>
    <t xml:space="preserve">CENTRO DE MESA ARO DORADO </t>
  </si>
  <si>
    <t xml:space="preserve">44CM  x 47CM x 26 </t>
  </si>
  <si>
    <t xml:space="preserve">44CM x 47CM x 26 </t>
  </si>
  <si>
    <t>27CM DE ANCHO POR 26 DE ALTURA</t>
  </si>
  <si>
    <t>BASE DE TORTA CRISTAL ROSADA GRANDE</t>
  </si>
  <si>
    <t>25CM ANCHO X 37CM ALTURA</t>
  </si>
  <si>
    <t>25 CM ANCHO X 33CM ALTURA</t>
  </si>
  <si>
    <t xml:space="preserve">BACKING OVALADO VICTORIANO DORADO </t>
  </si>
  <si>
    <t xml:space="preserve">BACKING LAPIDA MADERA MEDIA LUNA </t>
  </si>
  <si>
    <t xml:space="preserve">BACKING LAPIDA MADERA OVALADO </t>
  </si>
  <si>
    <t>1,50 ALTO, ANCHO 90CM</t>
  </si>
  <si>
    <t>1,65 CM ALTO, ANCHO 90CM</t>
  </si>
  <si>
    <t xml:space="preserve">150 DE ALTO X 60 DE ANCHO </t>
  </si>
  <si>
    <t>130 DE ALTO X 60 DE ANCHO</t>
  </si>
  <si>
    <t xml:space="preserve">VERDE NEON </t>
  </si>
  <si>
    <t xml:space="preserve">FORRO SILLA SPANDEX </t>
  </si>
  <si>
    <t xml:space="preserve">FORROS SILLA SPANDEX </t>
  </si>
  <si>
    <t xml:space="preserve">ROSADO NEON </t>
  </si>
  <si>
    <t>MANTEL PARA DOS MESAS RECT</t>
  </si>
  <si>
    <t>2,40 (LARGO2,75X280 DE ANCHO) ARAVESCO B/N</t>
  </si>
  <si>
    <t xml:space="preserve">FORRO BACKING KIANA LILA </t>
  </si>
  <si>
    <t xml:space="preserve">FORRO BACKING KIANA ROJA </t>
  </si>
  <si>
    <t xml:space="preserve">FORRO BACKING KIANA CARNAVAL </t>
  </si>
  <si>
    <t xml:space="preserve">FORRO CILINDRO  NEON </t>
  </si>
  <si>
    <t xml:space="preserve">VERDE JADE </t>
  </si>
  <si>
    <t xml:space="preserve">FUCSIA NEON </t>
  </si>
  <si>
    <t xml:space="preserve">NARANJA NEON </t>
  </si>
  <si>
    <t xml:space="preserve">NARANJA NORMAL </t>
  </si>
  <si>
    <t xml:space="preserve">MORADO </t>
  </si>
  <si>
    <t xml:space="preserve">FALTA 1 </t>
  </si>
  <si>
    <t xml:space="preserve">ROSADO PASTEL </t>
  </si>
  <si>
    <t xml:space="preserve">2 OREJAS Y CARA </t>
  </si>
  <si>
    <t xml:space="preserve">FORRO BACKING KIANA AMARILLO NORMAL </t>
  </si>
  <si>
    <t xml:space="preserve">FORRO BACKING AZUL REY GRANDE </t>
  </si>
  <si>
    <t xml:space="preserve">FORRO BACKING KIANA GRIS O PLATEADO </t>
  </si>
  <si>
    <t xml:space="preserve">FORRO BACKING KIANA FUCSIA NEON </t>
  </si>
  <si>
    <t xml:space="preserve">AGUA MARINA </t>
  </si>
  <si>
    <t xml:space="preserve">1 FALTA </t>
  </si>
  <si>
    <t xml:space="preserve">MANTEL SPANDEX REDONDO </t>
  </si>
  <si>
    <t xml:space="preserve">MANTEL TAPA VERDE 240 </t>
  </si>
  <si>
    <t>MANTELES SPANDEX RECTANGULAR 180</t>
  </si>
  <si>
    <t>MANTELES SPANDEX RECTANGULAR 120</t>
  </si>
  <si>
    <t xml:space="preserve">MANTEL PARA DOS MESAS RECT </t>
  </si>
  <si>
    <t xml:space="preserve">2,40 (LARGO2,75X280 DE ANCHO)  CORRUGADO </t>
  </si>
  <si>
    <t>MESA AUXILIAR DOS NIVELES EN VIDRIO  PEQUEÑA</t>
  </si>
  <si>
    <t>MESA AUXILIAR DOS NIVELES EN VIDRIO</t>
  </si>
  <si>
    <t xml:space="preserve">ROSADAS </t>
  </si>
  <si>
    <t xml:space="preserve">SERVILLETAS DE LUJO </t>
  </si>
  <si>
    <t>DORADAS</t>
  </si>
  <si>
    <t xml:space="preserve">PLATEADAS </t>
  </si>
  <si>
    <t xml:space="preserve">VERDE OLIVA </t>
  </si>
  <si>
    <t xml:space="preserve">AZUL CIELO </t>
  </si>
  <si>
    <t xml:space="preserve">AZUL FUERTE </t>
  </si>
  <si>
    <t xml:space="preserve">AMARILLO </t>
  </si>
  <si>
    <t>NEGR0</t>
  </si>
  <si>
    <t xml:space="preserve">ROJAS </t>
  </si>
  <si>
    <t xml:space="preserve">SERVILLETA DE LUJO  EN VELO </t>
  </si>
  <si>
    <t xml:space="preserve">25CM X 16 DE ALTURA </t>
  </si>
  <si>
    <t xml:space="preserve">144CM X 144 CM </t>
  </si>
  <si>
    <t xml:space="preserve">40CM X 40CM </t>
  </si>
  <si>
    <t xml:space="preserve">FUNDA PARA BACKIN OVALADO AZUL CIELO </t>
  </si>
  <si>
    <t>SERVILLETEROS NEGROS NUDOS  HILOS</t>
  </si>
  <si>
    <t xml:space="preserve">COJIN ARAVESCO DORADO HOJAS </t>
  </si>
  <si>
    <t xml:space="preserve">FALTAN </t>
  </si>
  <si>
    <t xml:space="preserve">COJIN DORADO CLARO </t>
  </si>
  <si>
    <t xml:space="preserve">COJIN DORADO RAYAS </t>
  </si>
  <si>
    <t xml:space="preserve">SERVILLETEROS PIEDRAS </t>
  </si>
  <si>
    <t xml:space="preserve">PERLAS DORADAS </t>
  </si>
  <si>
    <t xml:space="preserve">COLORES NAVIDAD VERDE- ROJO </t>
  </si>
  <si>
    <t xml:space="preserve">PEPAS GRANDES </t>
  </si>
  <si>
    <t xml:space="preserve">ARO GRABADO </t>
  </si>
  <si>
    <t xml:space="preserve">AJI </t>
  </si>
  <si>
    <t xml:space="preserve">74CM X 55CM </t>
  </si>
  <si>
    <t xml:space="preserve">2X2 MTR </t>
  </si>
  <si>
    <t xml:space="preserve">MANTEL MEXICANO RECTANGULAR CUADROS CON FIGURAS </t>
  </si>
  <si>
    <t xml:space="preserve">3MTRS X 1.50 CM </t>
  </si>
  <si>
    <t xml:space="preserve">20CM DE ALTO </t>
  </si>
  <si>
    <t xml:space="preserve">15.5CM X 14CM </t>
  </si>
  <si>
    <t xml:space="preserve">58CM </t>
  </si>
  <si>
    <t xml:space="preserve">REMO PARA CANOA RAYAS BLANCA Y AZUL </t>
  </si>
  <si>
    <t xml:space="preserve">ESPEJO MARINO GRANDE </t>
  </si>
  <si>
    <t xml:space="preserve">AVISOS LED </t>
  </si>
  <si>
    <t xml:space="preserve">CRISTALERIA </t>
  </si>
  <si>
    <t xml:space="preserve">SALA LOUNGE </t>
  </si>
  <si>
    <t xml:space="preserve">NEVERA  PLASTICAS PEQUEÑA IGLOO CON RUEDAS </t>
  </si>
  <si>
    <t xml:space="preserve">NEVERA PLASTICA GRANDE  IGLOO CON RUEDAS </t>
  </si>
  <si>
    <t xml:space="preserve">NEVERA PLASTICA PEQUEÑA COLEMAN </t>
  </si>
  <si>
    <t>(GRA30cmX27largo)/(MED30cm X21cm alto)/(PEQ29.5cmX16.5alto)</t>
  </si>
  <si>
    <t>GRANDE(30CMx27ALTO)/MEDIANO(30CMX22CM LARGO)</t>
  </si>
  <si>
    <t>GRANDE(27CMX30ALTO)/MEDIANA (29.5CMX22CM)/ PEQUEÑA(29.5X15CM)</t>
  </si>
  <si>
    <t>GRANDE 30CMX27ALTO)/ MEDIANA 29.5CMX23ALTO)</t>
  </si>
  <si>
    <t>GRA(30.5CMX22ALTO)/GRA(29.5CMX27ALTO)/MED(29CMX16ALTO)/PEQ29CMX14CM)</t>
  </si>
  <si>
    <t>GRANDE(29.5CMX27) MEDIANA (29CMX22CM)</t>
  </si>
  <si>
    <t>BOWL CEREAL PORCELANA</t>
  </si>
  <si>
    <t xml:space="preserve">MAQUINAS </t>
  </si>
  <si>
    <t xml:space="preserve">COSTOS DE INSUMOS PARA MAQUINA DE CRISPETA </t>
  </si>
  <si>
    <t xml:space="preserve">EJERCICIO PARA 100 </t>
  </si>
  <si>
    <t xml:space="preserve">CANTIDAD PRODUCIDA </t>
  </si>
  <si>
    <t xml:space="preserve">VALOR </t>
  </si>
  <si>
    <t xml:space="preserve">BOLSAS DE MAIZ  (ARA) </t>
  </si>
  <si>
    <t xml:space="preserve">PARA 100 UNIDADES </t>
  </si>
  <si>
    <t xml:space="preserve">ACEITE DIANA </t>
  </si>
  <si>
    <t xml:space="preserve">900 ml </t>
  </si>
  <si>
    <t xml:space="preserve">BOLSAS KRAF #3 </t>
  </si>
  <si>
    <t xml:space="preserve">SAL </t>
  </si>
  <si>
    <t xml:space="preserve">PARA 200 </t>
  </si>
  <si>
    <t xml:space="preserve">GORROS X 100 </t>
  </si>
  <si>
    <t xml:space="preserve">GUANTES X 100 </t>
  </si>
  <si>
    <t xml:space="preserve">SERVILLETAS X 200 </t>
  </si>
  <si>
    <t>PRECIO</t>
  </si>
  <si>
    <t xml:space="preserve">FECHA </t>
  </si>
  <si>
    <t>MANI TRITURADO 1/2 LIBRA</t>
  </si>
  <si>
    <t>LLUVIA DE CHOCOLATES HARALD 1/2 LIBRA</t>
  </si>
  <si>
    <t>LLUVIA DE COLORES HARALD 1/2 LIBRA</t>
  </si>
  <si>
    <t>OREO PAQUETE X 12</t>
  </si>
  <si>
    <t>MILO 500 GR</t>
  </si>
  <si>
    <t>GRAGEAS 500GR</t>
  </si>
  <si>
    <t xml:space="preserve">AREQUIPE TETERO 380GR </t>
  </si>
  <si>
    <t xml:space="preserve">LECHE CONDENSADA 370GR </t>
  </si>
  <si>
    <t>SALSA DE CHOCOLATE 380GR</t>
  </si>
  <si>
    <t>AREQUIPE PASTELFRUT 1 KILO</t>
  </si>
  <si>
    <t>OBLEAS X 50 UND</t>
  </si>
  <si>
    <t>RECIPIENTE PARA TOPPING X 3</t>
  </si>
  <si>
    <t>RECIPIENTE PLASTICO X 10</t>
  </si>
  <si>
    <t>CUBIERTOS ECOLOGICOS X 24</t>
  </si>
  <si>
    <t>ESPATULA</t>
  </si>
  <si>
    <t>BLONDAR REDONDA 25 CM X12</t>
  </si>
  <si>
    <t>VALOR UNITARI0</t>
  </si>
  <si>
    <t>BLONDAR REDONDA 20CM X 12</t>
  </si>
  <si>
    <t>CUBOS BABY</t>
  </si>
  <si>
    <t>CUBOS BABY LETRAS DORADAS</t>
  </si>
  <si>
    <t>N15A</t>
  </si>
  <si>
    <t>FORRO PARA CABINA B3</t>
  </si>
  <si>
    <t>FORRO PROTECTOR PARA BAJO DOBLE</t>
  </si>
  <si>
    <t xml:space="preserve">ESTUCHE EN DURO PARA VIDEO BEEM </t>
  </si>
  <si>
    <t>ESTUCHE EN DURO PARA TRIPODES DE CABINA</t>
  </si>
  <si>
    <t>ESTUCHE EN DURO PARA PARALES DE MICROFONO</t>
  </si>
  <si>
    <t xml:space="preserve">SILLAS METALICA BLANCA COJIN ROSADO / AZUL </t>
  </si>
  <si>
    <t xml:space="preserve">VENTILADOR INDUSTRIAL </t>
  </si>
  <si>
    <t xml:space="preserve">CARPAS </t>
  </si>
  <si>
    <t>6X6</t>
  </si>
  <si>
    <t xml:space="preserve">SILLAS CORPORATIVAS - SOCIALES </t>
  </si>
  <si>
    <t xml:space="preserve">LONAS BLANCAS </t>
  </si>
  <si>
    <t xml:space="preserve">CERRAMIENTOS BLANCOS </t>
  </si>
  <si>
    <t>SONIDO</t>
  </si>
  <si>
    <t xml:space="preserve">BASE Y ARABESCO </t>
  </si>
  <si>
    <t>FALDILLIN COMPLETOS RECT - REDONDO</t>
  </si>
  <si>
    <t xml:space="preserve">SERVILLETEROS O AROS </t>
  </si>
  <si>
    <t>SET DE FIESTA PARA PICADAS - DIP</t>
  </si>
  <si>
    <t>TOTUMAS</t>
  </si>
  <si>
    <t>CUBIERTOS</t>
  </si>
  <si>
    <t xml:space="preserve">POCILLOS CORONA 6 AMARILLO- 6 ESTAMPADOS </t>
  </si>
  <si>
    <t xml:space="preserve">TENEDOR ACERO BAMBÚ </t>
  </si>
  <si>
    <t xml:space="preserve">CUCHILLO ACERO BAMBÚ </t>
  </si>
  <si>
    <t xml:space="preserve">CUCHARA SOPERA ACERO BAMBÚ </t>
  </si>
  <si>
    <t xml:space="preserve">CUCHARA POSTRE ACERO BAMBÚ </t>
  </si>
  <si>
    <t>PLATO COMIDA PORCELANA</t>
  </si>
  <si>
    <t xml:space="preserve">COPA DE AGUA ARAGON - VINO </t>
  </si>
  <si>
    <t xml:space="preserve">VASO SIENA AGUA - GASEOSA </t>
  </si>
  <si>
    <t xml:space="preserve">VASO AMADEUS ROCKS </t>
  </si>
  <si>
    <t xml:space="preserve">10 OZ -300 CC </t>
  </si>
  <si>
    <t>TORTERA DORADA EN PIEDRAS (L)</t>
  </si>
  <si>
    <t xml:space="preserve">TORTERA PLATEADA LAGRIMAS PEQUEÑA </t>
  </si>
  <si>
    <t>24X20 CM</t>
  </si>
  <si>
    <t xml:space="preserve">16X25CM </t>
  </si>
  <si>
    <t xml:space="preserve">TORTERA PLATEADA EN PIEDRAS (M) </t>
  </si>
  <si>
    <t xml:space="preserve">HIELERA ACRILICA </t>
  </si>
  <si>
    <t>TORTERA PLATEADA EN PIEDRAS (L)</t>
  </si>
  <si>
    <t xml:space="preserve">MEDIANA </t>
  </si>
  <si>
    <t xml:space="preserve">PEQUEÑA </t>
  </si>
  <si>
    <t>PEQUEÑA</t>
  </si>
  <si>
    <t xml:space="preserve">TORTERA  DORADA GRANDE CON VIDRIO </t>
  </si>
  <si>
    <t xml:space="preserve">TORTERA DORADA MEDIANA CON VIDRIO </t>
  </si>
  <si>
    <t xml:space="preserve">TORTERA DORADA PEQUEÑA CON VIDRIO  </t>
  </si>
  <si>
    <t xml:space="preserve">TORTERA PLATEADA GRANDE VIDRIO </t>
  </si>
  <si>
    <t xml:space="preserve">85 LITROS </t>
  </si>
  <si>
    <t>61,5L PEQUEÑA</t>
  </si>
  <si>
    <t>BACKING-LONA</t>
  </si>
  <si>
    <t xml:space="preserve">Tapa pequeña de greca $20.000 </t>
  </si>
  <si>
    <t xml:space="preserve">Tapón de orificio de greca $15.000 </t>
  </si>
  <si>
    <t>Mantenimiento y arreglo de greca $80.000</t>
  </si>
  <si>
    <t>PAQUETE MINIMO DE 50 UNID CON MAQUINA  $3500</t>
  </si>
  <si>
    <t>PAQUETE MINIMO DE 50 UNID CON EMPAQUE  $3000</t>
  </si>
  <si>
    <t>PAQUETE MINIMO DE 50 UND $3200</t>
  </si>
  <si>
    <t xml:space="preserve">PAQUETE MINIMO DE 50 CON 2 TOPPINGS </t>
  </si>
  <si>
    <t>TRANSPARENTES</t>
  </si>
  <si>
    <t>CUBOS BABY LETRAS AZULES</t>
  </si>
  <si>
    <t>ESPACIO PUBLICO</t>
  </si>
  <si>
    <t xml:space="preserve">MESONES </t>
  </si>
  <si>
    <t>CONTRAPESO</t>
  </si>
  <si>
    <t xml:space="preserve">SILLAS </t>
  </si>
  <si>
    <t>MANTELES SENCILLOS</t>
  </si>
  <si>
    <t xml:space="preserve">AREA METROPOLITANA </t>
  </si>
  <si>
    <t xml:space="preserve">CARPAS BLANCAS COMPLETAS </t>
  </si>
  <si>
    <t xml:space="preserve">CARPAS 4x4 COMPLETAS </t>
  </si>
  <si>
    <t xml:space="preserve">61.5 L PEQUEÑA </t>
  </si>
  <si>
    <t xml:space="preserve">CAMINO MEXICANO FIQUE </t>
  </si>
  <si>
    <t xml:space="preserve">TORTERA PLATEADA LAGRIMAS GRANDE </t>
  </si>
  <si>
    <t xml:space="preserve">SOPORTE PEDESTAL TV HASTA 70" </t>
  </si>
  <si>
    <t>4 MTRS DE LARGO CON 3.96 DE ANCHO</t>
  </si>
  <si>
    <t xml:space="preserve">NUDO HILOS </t>
  </si>
  <si>
    <t xml:space="preserve">BASE CUADRADA CON PIEDRAS MURANO </t>
  </si>
  <si>
    <t xml:space="preserve">COPA  CHAMPAÑA ARAGON </t>
  </si>
  <si>
    <t xml:space="preserve">60CM X40CM </t>
  </si>
  <si>
    <t>CUADRO DE PLANTAS PARA BACKING DE MADERA (BARCELONA PLAZA)</t>
  </si>
  <si>
    <t xml:space="preserve">TABLAS MADERA RUSTICA </t>
  </si>
  <si>
    <t xml:space="preserve">30CM X30CM </t>
  </si>
  <si>
    <t xml:space="preserve">34CM X34CM </t>
  </si>
  <si>
    <t xml:space="preserve">550ML (DIAMETRO 14CM X7CM) </t>
  </si>
  <si>
    <t>6 OZ -176CC</t>
  </si>
  <si>
    <t xml:space="preserve">COJINES ROSADOS </t>
  </si>
  <si>
    <t>COJINES AZULES</t>
  </si>
  <si>
    <t xml:space="preserve">AVISO LED HAPPY BIRTHAY LUZ BLANCA </t>
  </si>
  <si>
    <t xml:space="preserve">AVISO LED HAPPY BIRTHAY LUZ CALIDA </t>
  </si>
  <si>
    <t xml:space="preserve">AVISO LED LEST PARTY LUZ CALIDA </t>
  </si>
  <si>
    <t>AVISO LED OH BABY LUZ CALID A</t>
  </si>
  <si>
    <t xml:space="preserve">AVISO LED # 0 LUZ CALIDA </t>
  </si>
  <si>
    <t xml:space="preserve">AVISO LED #1 LUZ CALIDA </t>
  </si>
  <si>
    <t xml:space="preserve">AVISO LED #2 LLUZ CALIDA </t>
  </si>
  <si>
    <t xml:space="preserve">AVISO LED #3 LUZ CALIDA </t>
  </si>
  <si>
    <t xml:space="preserve">AVISO LED #4 LUZ CALIDA </t>
  </si>
  <si>
    <t xml:space="preserve">AVISO LED #5 LUZ CALIDA </t>
  </si>
  <si>
    <t xml:space="preserve">AVISO LED #6 LUZ CALIDA </t>
  </si>
  <si>
    <t xml:space="preserve">60CM X 40CM </t>
  </si>
  <si>
    <t>25CM X 20CM X 15CM X 40CM DE ALTURA</t>
  </si>
  <si>
    <t xml:space="preserve">27CM X 3CM </t>
  </si>
  <si>
    <t>4CC</t>
  </si>
  <si>
    <t xml:space="preserve">COFRE LLUVIA DE SOBRE PLATEADO </t>
  </si>
  <si>
    <t xml:space="preserve">COFRE LLUVIA DE SOBRE DORADO </t>
  </si>
  <si>
    <t xml:space="preserve">COFRE LLUVIA DE SOBRE  VINTAGE </t>
  </si>
  <si>
    <t xml:space="preserve">19.3CM X 2.2CM </t>
  </si>
  <si>
    <t xml:space="preserve">BASE DE PASABOCAS ESPEJO 3  NIVELES </t>
  </si>
  <si>
    <t xml:space="preserve">BASE DE PASABOCAS VIDRIO 3 NIVELES </t>
  </si>
  <si>
    <t>5 L</t>
  </si>
  <si>
    <t xml:space="preserve">17CM </t>
  </si>
  <si>
    <t xml:space="preserve">DECANTADOR DE VINO </t>
  </si>
  <si>
    <t xml:space="preserve">CANASTOS PLASTICOS BEIGE </t>
  </si>
  <si>
    <t xml:space="preserve">CANASTO FIBRA NATURAL B/N CON TAPA </t>
  </si>
  <si>
    <t>CANASTOS - CESTAS</t>
  </si>
  <si>
    <t xml:space="preserve">TABLERO CON LETRAS MOBILES </t>
  </si>
  <si>
    <t xml:space="preserve">TAZA DE BARRO AMARILLA </t>
  </si>
  <si>
    <t xml:space="preserve">TAZA DE BARRO VERDE CLARO </t>
  </si>
  <si>
    <t xml:space="preserve">TAZA DE BARRO AZUL </t>
  </si>
  <si>
    <t>MAQUINA DE ALGODÓN PAQUETE</t>
  </si>
  <si>
    <t xml:space="preserve">INDIVIDUALES JACINTO </t>
  </si>
  <si>
    <t>37 CM</t>
  </si>
  <si>
    <t>INVENTARIO 09/04/2024</t>
  </si>
  <si>
    <t xml:space="preserve">BOLSAS KRAFT </t>
  </si>
  <si>
    <t>CUBOS BABY LETRAS LILA</t>
  </si>
  <si>
    <t xml:space="preserve">CUBOS BABY LETRAS VERDE MENTE </t>
  </si>
  <si>
    <t xml:space="preserve"> CUBOS BABY LETRAS ROSADA </t>
  </si>
  <si>
    <t>4 PARTIDAS, DETERIORADAS</t>
  </si>
  <si>
    <t xml:space="preserve">SERVILLTETO DORADO BOLAS BLANCAS </t>
  </si>
  <si>
    <t>BOLAS BLANCAS</t>
  </si>
  <si>
    <t xml:space="preserve">PRODUCTO </t>
  </si>
  <si>
    <t xml:space="preserve">PRECIO </t>
  </si>
  <si>
    <t xml:space="preserve">50 UND </t>
  </si>
  <si>
    <t xml:space="preserve">VASO 8 OZ </t>
  </si>
  <si>
    <t xml:space="preserve">100 UND </t>
  </si>
  <si>
    <t xml:space="preserve">TENEDOR BLANCO </t>
  </si>
  <si>
    <t>MESA INFANTIL PLASTICA AZUL REY</t>
  </si>
  <si>
    <t>MESA INFANTIL PLASTICA AZUL CIELO</t>
  </si>
  <si>
    <t xml:space="preserve">MESA INFANTIL PLASTICA VERDE MARINO </t>
  </si>
  <si>
    <t>SILLA PLASTICA RIMAX  VERDE LIMA</t>
  </si>
  <si>
    <t>SILLAS PLASTICAS VERDE MARINO</t>
  </si>
  <si>
    <t xml:space="preserve">SILLAS PLASTICAS AZUL REY </t>
  </si>
  <si>
    <t>MESA TIPO FLOR BLANCA GRANDE</t>
  </si>
  <si>
    <t>MESA TIPO FLOR BLANCA MEDIANA</t>
  </si>
  <si>
    <t xml:space="preserve">MESA TIPO FLOR BLANCA PEQUEÑA </t>
  </si>
  <si>
    <t>MESA TIPO FLOR LILA GRANDE</t>
  </si>
  <si>
    <t xml:space="preserve">MESA TIPO FLOR ROSADA GRANDE </t>
  </si>
  <si>
    <t xml:space="preserve">MESA TIPO FLOR ROSADA MEDIANA </t>
  </si>
  <si>
    <t>MESA TIPO FLOR ROSADA PEQUEÑA</t>
  </si>
  <si>
    <t xml:space="preserve">SERVILLETERO PLATEADO </t>
  </si>
  <si>
    <t>LISO</t>
  </si>
  <si>
    <t xml:space="preserve">CORRUGADO </t>
  </si>
  <si>
    <t>SERVILLETERO CONCHA MARINA</t>
  </si>
  <si>
    <t xml:space="preserve">SERVILLETERO HOJA </t>
  </si>
  <si>
    <t>SERVILLETERO FLOR</t>
  </si>
  <si>
    <t>SERVILLETERO ESTRELLA DE MAR</t>
  </si>
  <si>
    <t>SERVILLETERO CARACOL</t>
  </si>
  <si>
    <t>SERVILLETERO ESPIRAL</t>
  </si>
  <si>
    <t xml:space="preserve">CAFÉ </t>
  </si>
  <si>
    <t xml:space="preserve">PAQUETE BOLAS DECORATIVOS </t>
  </si>
  <si>
    <t xml:space="preserve">3 ESTILOS MARINOS </t>
  </si>
  <si>
    <t>PAQUETE CONCHAS DE MAR</t>
  </si>
  <si>
    <t xml:space="preserve">CAMINO DE MESA MARINO </t>
  </si>
  <si>
    <t xml:space="preserve">FARO GRANDE </t>
  </si>
  <si>
    <t>ADORNO PEZ PEQUEÑO</t>
  </si>
  <si>
    <t xml:space="preserve">ADORNO PEZ GRANDE </t>
  </si>
  <si>
    <t xml:space="preserve"> 18X 30 CM</t>
  </si>
  <si>
    <t>16X 5 CM</t>
  </si>
  <si>
    <t>PAQUETES RELLENO PIEDRA CHAMPAG</t>
  </si>
  <si>
    <t xml:space="preserve">FORRO CAVAS ICOPOR </t>
  </si>
  <si>
    <t>10X40 CM</t>
  </si>
  <si>
    <t xml:space="preserve">17X30 CM </t>
  </si>
  <si>
    <t>CAMINOS DE MESA NAVIDAD ROJO CON LINEAS VERDES VALLEI</t>
  </si>
  <si>
    <t>CAMINOS DE MESA NAVIDAD VERDE YASMINA</t>
  </si>
  <si>
    <t>MESA TIPO FLOR LILA MEDIANA</t>
  </si>
  <si>
    <t xml:space="preserve">MESA TIPO FLOR LILA PEQUEÑA </t>
  </si>
  <si>
    <t>ESCALERA RECORDATORIO BLANCA</t>
  </si>
  <si>
    <t>ESCALERA RECORDATORIO ROSADA</t>
  </si>
  <si>
    <t xml:space="preserve">ESCALERA RECORDATORIO CAFÉ </t>
  </si>
  <si>
    <t>MESA RECTANGULAR BLANCA - ALCALDE</t>
  </si>
  <si>
    <t>FUCSIA</t>
  </si>
  <si>
    <t xml:space="preserve">MANTEL 3,60 BASE </t>
  </si>
  <si>
    <t>BLANCO PANAMA</t>
  </si>
  <si>
    <t xml:space="preserve">BLANCO RECTANGULAR </t>
  </si>
  <si>
    <t>CARROZA GRANDE DORADA</t>
  </si>
  <si>
    <t>CARROZA PEQUEÑA ROSADA</t>
  </si>
  <si>
    <t>MESA CUATRO NIVELES BLANCA</t>
  </si>
  <si>
    <t xml:space="preserve">MAQUINA DE MANGO </t>
  </si>
  <si>
    <t>MESA CUADRADA ROJA</t>
  </si>
  <si>
    <t>MESA TROQUELADA BLANCA</t>
  </si>
  <si>
    <t>MESA TROQUELADA LILA</t>
  </si>
  <si>
    <t>MESA TROQUELADA ROJA</t>
  </si>
  <si>
    <t>BANDEJA POR 3 CUENCOS</t>
  </si>
  <si>
    <t xml:space="preserve">CERAMICA Y BAMBU </t>
  </si>
  <si>
    <t>CUCHILLO DORADO</t>
  </si>
  <si>
    <t>CUCHARA POSTRE DORADA</t>
  </si>
  <si>
    <t>CUCHARA SOPERA DORADA</t>
  </si>
  <si>
    <t>TENEDOR DORADO</t>
  </si>
  <si>
    <t>PANEL LENTEJUELA NEGRO</t>
  </si>
  <si>
    <t>PANEL LENTEJUELA  PLATEADO</t>
  </si>
  <si>
    <t>COPA GINEBRA</t>
  </si>
  <si>
    <t>2,40 NEGRO</t>
  </si>
  <si>
    <t xml:space="preserve">CAJAS DE MADERA </t>
  </si>
  <si>
    <t>CAJA DE COPA DE CHAMPAN</t>
  </si>
  <si>
    <t>CAJA DE COPA DE VINO</t>
  </si>
  <si>
    <t>CAJA DE COPA DE JINEBRA</t>
  </si>
  <si>
    <t>CAJA DE BOLD O TAZA DE TINTO</t>
  </si>
  <si>
    <t>CAJA DE PLATOS</t>
  </si>
  <si>
    <t>CAJA DE VASO DE GASEOSA</t>
  </si>
  <si>
    <t>CAJA DE PLATO DE POSTRE</t>
  </si>
  <si>
    <t xml:space="preserve">CAJA DE </t>
  </si>
  <si>
    <t>AZUL CLARO</t>
  </si>
  <si>
    <t>SALA LOUNGE 24 PUESTOS</t>
  </si>
  <si>
    <t>PINZAS GRANDES</t>
  </si>
  <si>
    <t>PINZAS PEQUEÑAS</t>
  </si>
  <si>
    <t>ESPACIO PUBLICO 7 / PERDIDA LUIS 1</t>
  </si>
  <si>
    <t xml:space="preserve">TIJERAS </t>
  </si>
  <si>
    <t>ZURDO</t>
  </si>
  <si>
    <t>NORMALES</t>
  </si>
  <si>
    <t>PENDIENTE POR INGRESAR 24 ESPACIO PUBLICO Y 5 METROPOLITANA- 1 SILLA PARTIDA UNA EN FERIA 6/09/2024 Y 1 SILLA PARROQUIA 07/09/2024/ 1 SILLA FERIA CIUDADELA 20 DE JULIO 20/09/2024/ 1 SILLA FERIA SANTODOMINGO 04/10/2024/ 1 SILLAS FERIA 11/10/2024, 23/11/2024 2 SILLAS CUMPLE FARIDE/ 1 SILLA GRAN BAZAR 23/11/2024- 2 BRAYAN EVENTO INAGURACION HOSPITAL DE BARRANQUILLA 20/01/2025</t>
  </si>
  <si>
    <t>MUÑECO DE CARNAVAL</t>
  </si>
  <si>
    <t>MARIMONDAS</t>
  </si>
  <si>
    <t>MARIMONDA DEL JUNIOR</t>
  </si>
  <si>
    <t>NEGRITA</t>
  </si>
  <si>
    <t>NEGRITO</t>
  </si>
  <si>
    <t>CILINDRO BLANCO</t>
  </si>
  <si>
    <t>BLANCO TRANSPARENTE</t>
  </si>
  <si>
    <t>SOPORTE PARA TACOS</t>
  </si>
  <si>
    <t xml:space="preserve">FLORERO FLORES NARANJA CON VERDE </t>
  </si>
  <si>
    <t>FLORERO FLORES VERDE CON NARANJA</t>
  </si>
  <si>
    <t>CILINDRO CRUDO</t>
  </si>
  <si>
    <t>TARIMA FLOR ROSADA</t>
  </si>
  <si>
    <t>MESON MALETA PLASTICA</t>
  </si>
  <si>
    <t xml:space="preserve">MESA VERBENERA TIJERA  COLORES 4 PUESTOS </t>
  </si>
  <si>
    <t xml:space="preserve">MESA VERBENERA TIJERA COLORES </t>
  </si>
  <si>
    <t>SILLAS CHIVARY DORADAS</t>
  </si>
  <si>
    <t>MADERA</t>
  </si>
  <si>
    <t xml:space="preserve">SILLAS LUIS V DORADAS </t>
  </si>
  <si>
    <t xml:space="preserve">SILLAS CARNAVAL COLORES </t>
  </si>
  <si>
    <t>CAVA ICOPOR 80 L</t>
  </si>
  <si>
    <t xml:space="preserve">CAVA ICOPOR 20 L </t>
  </si>
  <si>
    <t xml:space="preserve">CAVA ICOPOR 130L </t>
  </si>
  <si>
    <t>TANQUES PARA REFRIGERACION COLOR AZUL</t>
  </si>
  <si>
    <t>90CM ALTO X 60 ANCHO</t>
  </si>
  <si>
    <t xml:space="preserve">80CM ALTO X 65 ANCHO </t>
  </si>
  <si>
    <t xml:space="preserve">70CM ALTO X 56CM ANCHO </t>
  </si>
  <si>
    <t xml:space="preserve">60CM ALTO X 46CM ANCHO </t>
  </si>
  <si>
    <t>80CM ALTOX40ANCHO</t>
  </si>
  <si>
    <t xml:space="preserve">70CM ALTO X 35CM ANCHO </t>
  </si>
  <si>
    <t xml:space="preserve">50CM ALTO X 30CM ANCHO  </t>
  </si>
  <si>
    <t xml:space="preserve">50CM ALLTOX60CM ANCHO </t>
  </si>
  <si>
    <t>65CM ALTO X 60CM ANCHO-1M DE LARGO</t>
  </si>
  <si>
    <t xml:space="preserve">81CM ALTO X 95CM ANCHO </t>
  </si>
  <si>
    <t>130CM ALTO X 80CM ANCHO</t>
  </si>
  <si>
    <t>90CM ALTOX60CM ANCHO</t>
  </si>
  <si>
    <t>60CM ALTO X 60CM ANCHO</t>
  </si>
  <si>
    <t xml:space="preserve">MESA MADERA REDONDA  8 A 10 PUESTOS </t>
  </si>
  <si>
    <t xml:space="preserve">SILLAS TIPO BAR BLANCAS </t>
  </si>
  <si>
    <t xml:space="preserve">SILLA PLASTICA RIMAX SIN BRAZO </t>
  </si>
  <si>
    <t>BLANCA</t>
  </si>
  <si>
    <t>55CM ALTO  X 40 ANCHO (65LT)</t>
  </si>
  <si>
    <t xml:space="preserve">PRECIO SIN TV </t>
  </si>
  <si>
    <t xml:space="preserve">80CM  ALTO X 60 ANCHO -LARGO 90CM </t>
  </si>
  <si>
    <t xml:space="preserve">1.50 CIRCUNFERENCIA X 75CM ALTO </t>
  </si>
  <si>
    <t>65CM ALTO</t>
  </si>
  <si>
    <t xml:space="preserve">PLATO BASE VIDRIO CON BOLAS DORADAS </t>
  </si>
  <si>
    <t xml:space="preserve">PLATEADO CON GRIS PANAMA </t>
  </si>
  <si>
    <t xml:space="preserve">1 RAJADA (35.000) </t>
  </si>
  <si>
    <t xml:space="preserve">PARTIDAS 3  (22.000) </t>
  </si>
  <si>
    <t xml:space="preserve">BLANCO (ana 1 nuevo para 7) </t>
  </si>
  <si>
    <t>MANTELES PICNI CUADROS PEQ BLANCO CON ROJO</t>
  </si>
  <si>
    <t xml:space="preserve">MANTELES PICNI CUADROS GRAN BLANCO CON AZUL </t>
  </si>
  <si>
    <t xml:space="preserve">MANTELES PICNI ROSADO PASTEL  LISO </t>
  </si>
  <si>
    <t xml:space="preserve">MANTELES PICNI AZUL PASTEL LISO </t>
  </si>
  <si>
    <t xml:space="preserve">MANTELES PICNI VERDE MANZANA LISO </t>
  </si>
  <si>
    <t xml:space="preserve">MODULOS BLANCOS </t>
  </si>
  <si>
    <t xml:space="preserve">BASE BLANCA CON RUEDAS </t>
  </si>
  <si>
    <t xml:space="preserve">ESCALERA BLANCA 1 PIEZA </t>
  </si>
  <si>
    <t xml:space="preserve">MODULOS BLANCOS 60CM LARGO </t>
  </si>
  <si>
    <t xml:space="preserve">MODULO BLANCOS 70CM LARGO </t>
  </si>
  <si>
    <t xml:space="preserve">70 CM LARGO X 20 CM ANCHO X 81 CM ALTO </t>
  </si>
  <si>
    <t xml:space="preserve">84 CM LARGO X 25 CM ANCHO X 31 CM ALTO </t>
  </si>
  <si>
    <t xml:space="preserve">84 CM LARGO X 26 CM ANCHO X 43 CM ALTO </t>
  </si>
  <si>
    <t xml:space="preserve">45 CM LARGO X 34 CM ANCHO X 58 CM ALTO </t>
  </si>
  <si>
    <t xml:space="preserve">44 CM LARGO X 27 CM ANCHO X 20 CM ALTO </t>
  </si>
  <si>
    <t xml:space="preserve">34 CM LARGO X 30 CM ANCHO X 51 CM ALTO </t>
  </si>
  <si>
    <t xml:space="preserve">35 CM LARGO X 25 CM ANCHO X 28 CM ALTO </t>
  </si>
  <si>
    <t xml:space="preserve">150 LARGO X 70 CM ANCHO X 20 CM  ALTO </t>
  </si>
  <si>
    <t xml:space="preserve">71CM LARGO X 70 CM ANCHO X 20 CM ALTO </t>
  </si>
  <si>
    <t xml:space="preserve">60 CM LARGO X 60CM ANCHO X </t>
  </si>
  <si>
    <t>60 CM LARGO X 40 CM ANCHO X 65 CM ALTO</t>
  </si>
  <si>
    <t>60 CM LARGO X 30 CM ANCHO X 38 CM  ALTO</t>
  </si>
  <si>
    <t xml:space="preserve">64 CM LARGO X 44 CM ANCHO X 25 CM ALTO </t>
  </si>
  <si>
    <t xml:space="preserve">60 LARGO X 30 CM ANCHO X 17 CM ALTO </t>
  </si>
  <si>
    <t xml:space="preserve">60 CM LARGO X30 CM ANCHO X 38 CM ALTO </t>
  </si>
  <si>
    <t xml:space="preserve">70 CM LARGO X 30 CM ANCHO X 20 CM ALTO </t>
  </si>
  <si>
    <t xml:space="preserve">45 CM LARGO X 44 CM ANCHO X 35 CM ALTO </t>
  </si>
  <si>
    <t xml:space="preserve">TORRE MILENIUM NEGRO CON FLAUTAS - CON ZAPATOS </t>
  </si>
  <si>
    <t xml:space="preserve">RACK NEGRO CON TABLA MADERA </t>
  </si>
  <si>
    <t>ok</t>
  </si>
  <si>
    <t xml:space="preserve">AMARILLO BANDERA </t>
  </si>
  <si>
    <t>NEGRO 13+ 8</t>
  </si>
  <si>
    <t xml:space="preserve">FUCSIA OSCURO </t>
  </si>
  <si>
    <t xml:space="preserve">FUCSIA NORMAL </t>
  </si>
  <si>
    <t xml:space="preserve">MANTEL SPANDEX 1,80 </t>
  </si>
  <si>
    <t xml:space="preserve">NARANJA OSCURO </t>
  </si>
  <si>
    <t xml:space="preserve">NARANJA CLARO </t>
  </si>
  <si>
    <t xml:space="preserve">TIPO BAR NEGRO </t>
  </si>
  <si>
    <t xml:space="preserve">BLANCO  (4 mantel base - 4 faldillin grande - 1 mediano) </t>
  </si>
  <si>
    <t xml:space="preserve">MANTEL REDONDO LUJO </t>
  </si>
  <si>
    <t xml:space="preserve">DORADO LINEAS </t>
  </si>
  <si>
    <t xml:space="preserve">DORADO  CORRUGADO </t>
  </si>
  <si>
    <t xml:space="preserve">DORADO BRILLANTE </t>
  </si>
  <si>
    <t xml:space="preserve">MANTELES PARA DOS MESAS RECT 240 </t>
  </si>
  <si>
    <t xml:space="preserve">MANTELES REDONDOS ARABESCOS </t>
  </si>
  <si>
    <t xml:space="preserve">2,40 (LARGO2,75X280 DE ANCHO)  FUCSIA </t>
  </si>
  <si>
    <t xml:space="preserve">2,40 (LARGO2,75X280 DE ANCHO) PALO ROSA </t>
  </si>
  <si>
    <t xml:space="preserve">2,40 (LARGO2,75X280 DE ANCHO)  AZUL FUERTE </t>
  </si>
  <si>
    <t>2,40  ROJO</t>
  </si>
  <si>
    <t xml:space="preserve">MANTEL MESAS RECT </t>
  </si>
  <si>
    <t xml:space="preserve">MANTELES PICNI </t>
  </si>
  <si>
    <t xml:space="preserve">FUCSIA CLARO </t>
  </si>
  <si>
    <t xml:space="preserve">FUCSIA FUERTE </t>
  </si>
  <si>
    <t xml:space="preserve">AMARIILO FUERTE </t>
  </si>
  <si>
    <t>MANTELES PICNI CUADROS PEQ BLANCO CON ROSADO</t>
  </si>
  <si>
    <t xml:space="preserve">FALTAN 2 </t>
  </si>
  <si>
    <t xml:space="preserve">FUCSIIA NORMAL </t>
  </si>
  <si>
    <t xml:space="preserve">COJIN PICNI CUARDOS GRANDES ROJOS CON BLANCO BASE BLANCA </t>
  </si>
  <si>
    <t xml:space="preserve">COJIN DORADO BRILLANTE </t>
  </si>
  <si>
    <t xml:space="preserve">FORRO BACKING KIANA VERDE EUCALIPTO  </t>
  </si>
  <si>
    <t xml:space="preserve">FORRO BACKING KIANA NEGRA </t>
  </si>
  <si>
    <t xml:space="preserve">FUNDA DOBLE FAZ </t>
  </si>
  <si>
    <t xml:space="preserve">SONIC - DULCES </t>
  </si>
  <si>
    <t xml:space="preserve">FUNDA MICKEY MOUSE </t>
  </si>
  <si>
    <t>FORRO CILINDRO ROJO</t>
  </si>
  <si>
    <t xml:space="preserve">BEIGE BRILLO </t>
  </si>
  <si>
    <t xml:space="preserve">FALTAN 5 </t>
  </si>
  <si>
    <t xml:space="preserve">BLANCAS INDU </t>
  </si>
  <si>
    <t xml:space="preserve">SERVILLETA DE LUJO  BEIGE </t>
  </si>
  <si>
    <t xml:space="preserve">BEIGE INDU </t>
  </si>
  <si>
    <t xml:space="preserve">SERVILLETA MEXICANAS X COLOR </t>
  </si>
  <si>
    <t xml:space="preserve">FALTAN  TODAS </t>
  </si>
  <si>
    <t xml:space="preserve">FALTAN 4 </t>
  </si>
  <si>
    <t xml:space="preserve">TOTUMA GRANDE IREALES </t>
  </si>
  <si>
    <t xml:space="preserve">3 MTRS X 1. 50  MTS </t>
  </si>
  <si>
    <t xml:space="preserve">2,75MTR X 1.5O MTRS </t>
  </si>
  <si>
    <t xml:space="preserve">3 PAQUETES X 4 </t>
  </si>
  <si>
    <t xml:space="preserve">AMARILLO-NARANJA-VERDE- ROJO </t>
  </si>
  <si>
    <t xml:space="preserve">FARO MEDIANO </t>
  </si>
  <si>
    <t>VELEROS AZULES</t>
  </si>
  <si>
    <t xml:space="preserve">ESTRELLAS DE MAR  BEIGE CON BLANCO </t>
  </si>
  <si>
    <t xml:space="preserve">RED DE MAR  BEIGE </t>
  </si>
  <si>
    <t xml:space="preserve">100 X 200 CRUDO </t>
  </si>
  <si>
    <t xml:space="preserve">RED DE MAR AZUL </t>
  </si>
  <si>
    <t xml:space="preserve">100 X 200 AZUL </t>
  </si>
  <si>
    <t xml:space="preserve">MALETAS BLANCAS </t>
  </si>
  <si>
    <t xml:space="preserve">NO ALQUILER </t>
  </si>
  <si>
    <t xml:space="preserve">40 X 3.5 CM </t>
  </si>
  <si>
    <t xml:space="preserve">41 X 3.5 CM </t>
  </si>
  <si>
    <t xml:space="preserve">42X33CMX17X13IN MANGO REDONDO </t>
  </si>
  <si>
    <t xml:space="preserve">42X33CMX17X13IN MANGO DELGADO </t>
  </si>
  <si>
    <t xml:space="preserve">56X40CM X22X16IN MANGO REDONDO </t>
  </si>
  <si>
    <t xml:space="preserve">BANDEJA PLATA HOME PANAMA MEDIANA </t>
  </si>
  <si>
    <t xml:space="preserve">BANDEJA PLATA HOME PANAMA GRANDE </t>
  </si>
  <si>
    <t xml:space="preserve">56X40CM X22X16IN MANGO DELGADO </t>
  </si>
  <si>
    <t xml:space="preserve">PLATO BASE DORADO MELAMINA BORDE BOLITAS </t>
  </si>
  <si>
    <t xml:space="preserve">PLATO BASE DORADO MELAMINA ARABESCO </t>
  </si>
  <si>
    <t xml:space="preserve">PLATO BASE PLATEADO MELAMINA BORDE BOLITAS </t>
  </si>
  <si>
    <t xml:space="preserve">PLATO BASE TRANSPARENTE ACRILICO BORDE BOLAS </t>
  </si>
  <si>
    <t xml:space="preserve">PLATO BASE MELAMINA PLATEADO BORDE FLOR </t>
  </si>
  <si>
    <t xml:space="preserve">PLATO BASE MELAMINA PLATEADO LISO </t>
  </si>
  <si>
    <t xml:space="preserve">HIELERA METAL </t>
  </si>
  <si>
    <t xml:space="preserve">FLORERO BLANCO MATE  MEDIANO </t>
  </si>
  <si>
    <t xml:space="preserve">BALDES NAVIDAD OVALADO ROJO MERY CHRISMAT </t>
  </si>
  <si>
    <t xml:space="preserve">BALDE MEDIANO  ROJO NAVIDAD PUNTOS </t>
  </si>
  <si>
    <t>CILINDRO MEDIANO EN VIDRIO</t>
  </si>
  <si>
    <t xml:space="preserve">CILINDRO  PEQUEÑO EN VIDRIO  </t>
  </si>
  <si>
    <t xml:space="preserve">16 CM </t>
  </si>
  <si>
    <t xml:space="preserve">CILINDRO MEDIANO EN VIDRIO HUECO </t>
  </si>
  <si>
    <t xml:space="preserve">CLINDRO MEDIANO EN VIDRIO HUECO </t>
  </si>
  <si>
    <t xml:space="preserve">20 CM </t>
  </si>
  <si>
    <t xml:space="preserve">23 CM DE ANCHO X  12 DE LARGO </t>
  </si>
  <si>
    <t xml:space="preserve">25CM ANCHO X 45CM LARGO </t>
  </si>
  <si>
    <t xml:space="preserve">23CM ANCHO X 40 CM LARGO </t>
  </si>
  <si>
    <t>PEGADO</t>
  </si>
  <si>
    <t xml:space="preserve">PEGADO </t>
  </si>
  <si>
    <t>SENTIDO</t>
  </si>
  <si>
    <t xml:space="preserve">1 SOPORTE  PARTIDO </t>
  </si>
  <si>
    <t xml:space="preserve">25CM DE LARGO X 19 ANCHO X 20 ALTO </t>
  </si>
  <si>
    <t xml:space="preserve">METALICAS </t>
  </si>
  <si>
    <t xml:space="preserve">PALAS GRANDE  EN ACRILICO PARA HIELO </t>
  </si>
  <si>
    <t xml:space="preserve">PALAS GRANDE METALICA PARA HIELO </t>
  </si>
  <si>
    <t xml:space="preserve">PALAS PEQUEÑAS  METALICA PARA HIELO </t>
  </si>
  <si>
    <t xml:space="preserve">ACRILICO </t>
  </si>
  <si>
    <t xml:space="preserve">SERVILLETEROS DORADOS  PIEDRAS TRANSPARENTES  </t>
  </si>
  <si>
    <t xml:space="preserve">ARO MADERA IVORY 8 - BAMBU 18 </t>
  </si>
  <si>
    <t xml:space="preserve">SERVILLETO NATURAL BEIGE </t>
  </si>
  <si>
    <t xml:space="preserve">SERVILLETERO MADERA </t>
  </si>
  <si>
    <t xml:space="preserve">FALTAN 9 </t>
  </si>
  <si>
    <t xml:space="preserve">SERVILLETERO DORADO CANUTILLO </t>
  </si>
  <si>
    <t>DORADO CANUTILLO</t>
  </si>
  <si>
    <t xml:space="preserve">SERVILLETERO CANUTILLO PERLAS BLANCAS DORADAS </t>
  </si>
  <si>
    <t xml:space="preserve">19CM ANCHO X 19 CM DE LARGO X 8CM ALTO </t>
  </si>
  <si>
    <t>CARRO OBLEAS</t>
  </si>
  <si>
    <t xml:space="preserve">19OML MAS 1 PLATO </t>
  </si>
  <si>
    <t xml:space="preserve">VASOS AGUA - GASEOSA 1 </t>
  </si>
  <si>
    <t>VASOS AGUA - GASEOSA 2</t>
  </si>
  <si>
    <t>VASOS AGUA - GASEOSA 3</t>
  </si>
  <si>
    <t xml:space="preserve">12 OZ - 353 CC 83 (VASOS DIFERENTE 3) </t>
  </si>
  <si>
    <t>BASE TORTA MADERA NEGRO X 2</t>
  </si>
  <si>
    <t>BASE CUPCAKE FUCSIA DOS NIVELES CIRCO</t>
  </si>
  <si>
    <t>PINTURA</t>
  </si>
  <si>
    <t xml:space="preserve">PINTURA </t>
  </si>
  <si>
    <t xml:space="preserve">CENTRO DE MESA CARNAVAL SOMBRERO </t>
  </si>
  <si>
    <t xml:space="preserve">CONCHA MARINA </t>
  </si>
  <si>
    <t>FLOR</t>
  </si>
  <si>
    <t>HOJA</t>
  </si>
  <si>
    <t xml:space="preserve">ESTRELLA DE MAR </t>
  </si>
  <si>
    <t>CARACOL</t>
  </si>
  <si>
    <t xml:space="preserve">ESPIRAL </t>
  </si>
  <si>
    <t>FALTAN 9 10000</t>
  </si>
  <si>
    <t xml:space="preserve">29 CM ALTO </t>
  </si>
  <si>
    <t>29 CM ALTO 11¨</t>
  </si>
  <si>
    <t xml:space="preserve">33 CM ALTO </t>
  </si>
  <si>
    <t xml:space="preserve">31 CM X 27 CM X 34 CM </t>
  </si>
  <si>
    <t xml:space="preserve">TORTERA DORADA EXTRAGRANDE CON VIDRIO SET X 4 </t>
  </si>
  <si>
    <t xml:space="preserve">TORTERA PLATEADA  EXTRAGRANDE  VIDRIO SET X 4 </t>
  </si>
  <si>
    <t xml:space="preserve">TORTERA PLATEADA CON ESPEJO GRANDE SET X 3 </t>
  </si>
  <si>
    <t xml:space="preserve">BANDEJA EN PIEDRAS DORADA GRANDE SET X 2 </t>
  </si>
  <si>
    <t xml:space="preserve">BANDEJA EN PIEDRAS PLATEADA GRANDE SET X 2 </t>
  </si>
  <si>
    <t xml:space="preserve">150 CM X 120 CM NEGRO CON TABLA </t>
  </si>
  <si>
    <t xml:space="preserve">130CM - NEGRO FLAUTAS (8) - ZAPATOS (8) </t>
  </si>
  <si>
    <t xml:space="preserve">120 CM X 120 CM - 1 BLANCO . 1 NEGRO </t>
  </si>
  <si>
    <t xml:space="preserve">120 CM X 60 X 120 CM NEGRO </t>
  </si>
  <si>
    <t xml:space="preserve">RACK  EN Y </t>
  </si>
  <si>
    <t xml:space="preserve">RACK SENCILLO B/N </t>
  </si>
  <si>
    <t xml:space="preserve">27CM X 12 CM </t>
  </si>
  <si>
    <t xml:space="preserve">LAZOS MESAS TIPO BAR BEIGE  4- AMARILLO </t>
  </si>
  <si>
    <t xml:space="preserve">BEIGE- DORADO </t>
  </si>
  <si>
    <t>CAJA X 24 PIEZAS  (17 cajas en total)</t>
  </si>
  <si>
    <t xml:space="preserve">90CM ALTO X 90 ANCHO -ALTURA 20 CM </t>
  </si>
  <si>
    <t xml:space="preserve">1 MTR - 2O CM ALTO </t>
  </si>
  <si>
    <t xml:space="preserve">detalles </t>
  </si>
  <si>
    <t xml:space="preserve">70CM ALTO X 40CM ANCHO </t>
  </si>
  <si>
    <t xml:space="preserve">detalle minimo </t>
  </si>
  <si>
    <t xml:space="preserve">5 MTRS </t>
  </si>
  <si>
    <t xml:space="preserve">TARIMA NEGRA CON LUZ LED (3 MTRS) - CONECTOR </t>
  </si>
  <si>
    <t xml:space="preserve">MESA INfANTIL METALICA X 6 PUESTO BLANCA </t>
  </si>
  <si>
    <t xml:space="preserve">MESA MADERA ESCALONADA BLANCA </t>
  </si>
  <si>
    <t xml:space="preserve">Detalles </t>
  </si>
  <si>
    <t xml:space="preserve">sentida </t>
  </si>
  <si>
    <t xml:space="preserve">74CM ALTO X 62CM ANCHO  X 91 DELARGO </t>
  </si>
  <si>
    <t xml:space="preserve">Detalles patas </t>
  </si>
  <si>
    <t xml:space="preserve">oxidadas </t>
  </si>
  <si>
    <t>CON COJINES 98</t>
  </si>
  <si>
    <t xml:space="preserve">FALTAN 2 COJINES </t>
  </si>
  <si>
    <t xml:space="preserve">OSVALDO </t>
  </si>
  <si>
    <t xml:space="preserve">una diferente </t>
  </si>
  <si>
    <t xml:space="preserve">90 CM ALTO  X 58 CM DE ANCHO </t>
  </si>
  <si>
    <t xml:space="preserve">80 CM ALTO X 54 CM ANCHO GRANDE </t>
  </si>
  <si>
    <t xml:space="preserve">60 CM ALTO X 35 CM ANCHO PEQUEÑO </t>
  </si>
  <si>
    <t xml:space="preserve">71 CM ALTO X 44 CM ANCHO MEDIANO </t>
  </si>
  <si>
    <t xml:space="preserve">80 CM ALTO X 56 CM ANCHO GRANDE </t>
  </si>
  <si>
    <t xml:space="preserve">60 CM ALTO X 35 ANCHO PEQUEÑO </t>
  </si>
  <si>
    <t xml:space="preserve">70CM ALTO X 35CM ANCHO GRANDE </t>
  </si>
  <si>
    <t xml:space="preserve"> 46CM ALTO X 44 ANCHO </t>
  </si>
  <si>
    <t xml:space="preserve">40 CM ALTO X 52 CM DE LARGO X 45 CM ANCHO GRANDE </t>
  </si>
  <si>
    <t xml:space="preserve">34 CM ALTO X 47 CM DE LARGO X 40 CM ANCHO </t>
  </si>
  <si>
    <t xml:space="preserve">70CM ALTO X 46 CM ANCHO MEDIANA </t>
  </si>
  <si>
    <t xml:space="preserve">86 CM  ALTO  X 1,40 DE LARGO X 70 DE ANCHO </t>
  </si>
  <si>
    <t xml:space="preserve">80CM ALTO X 39ANCHO GRANDE </t>
  </si>
  <si>
    <t xml:space="preserve">62 CM ALTO X39 CM ANCHO PEQUEÑO  </t>
  </si>
  <si>
    <t xml:space="preserve">70 CM ALTO X 45CM ANCHO MEDIANO </t>
  </si>
  <si>
    <t xml:space="preserve">80 CM ALTO X 40 ANCHO GRANDE </t>
  </si>
  <si>
    <t xml:space="preserve">70 CM ALTO X 40 CM ANCHO MEDIANA </t>
  </si>
  <si>
    <t xml:space="preserve">60 CM ALTO X 40 CM ANCHO PEQUEÑA </t>
  </si>
  <si>
    <t>86 CM  ALTO X 40 DE ANCHO</t>
  </si>
  <si>
    <t xml:space="preserve">MESA DE CENTRO  TIPO TAMBOR GRANDE </t>
  </si>
  <si>
    <t xml:space="preserve">MESA DE CENTRO TIPO TAMBOR MEDIANA </t>
  </si>
  <si>
    <t>36 CM ALTO X 40 CM ANCHO  ( BLANCAS CON CRUDO)</t>
  </si>
  <si>
    <t xml:space="preserve">31 CM ALTO X 30 ANCHO  ( BLANCAS CON CRUDO) </t>
  </si>
  <si>
    <t xml:space="preserve">21 CM ALTO X 20 CM ANCH0 (BLANCAS CON CRUDO) </t>
  </si>
  <si>
    <t xml:space="preserve">80CM ALTO X 41 CM ANCHO GRANDE </t>
  </si>
  <si>
    <t xml:space="preserve">70CM ALTO X 41 CM ANCHO MEDIANA </t>
  </si>
  <si>
    <t xml:space="preserve">60CM ALTO X 41 CM ANCHO PEQUEÑA </t>
  </si>
  <si>
    <t xml:space="preserve">MESA HEXAGONA L TUBO DORADO </t>
  </si>
  <si>
    <t xml:space="preserve">70 CM ALTO X 40 CM ANCHO GRANDE </t>
  </si>
  <si>
    <t xml:space="preserve">80 CM DE ALTO  X 40 CM  ANCHO GRANDE </t>
  </si>
  <si>
    <t xml:space="preserve">60CM ALTO X 44 ANCHO PEQUEÑA </t>
  </si>
  <si>
    <t>MESA VIDRIO PUNTA DIAMANTE DORADO MATE</t>
  </si>
  <si>
    <t xml:space="preserve">80 CM ALTO X 50 CM  ANCHO - 90 CM LARGO </t>
  </si>
  <si>
    <t xml:space="preserve">70CM  ALTO X 50 ANCHO </t>
  </si>
  <si>
    <t xml:space="preserve">1 MTR ALTO X 90 LARGO X 45 CM ANCHO </t>
  </si>
  <si>
    <t xml:space="preserve">1MTR ALTO X 93 LARGO X 46 ANCHO </t>
  </si>
  <si>
    <t xml:space="preserve">83 CM ALTO X 95 CM LARGO X 47 CM ANCHO </t>
  </si>
  <si>
    <t xml:space="preserve">80CM ALTO X 39 CM ANCHO GRANDE </t>
  </si>
  <si>
    <t xml:space="preserve">70CM ALTO X 35 CM ANCHO MEDIANA </t>
  </si>
  <si>
    <t xml:space="preserve">60CM ALTO X 32 CM ANCHO PEQUEÑA </t>
  </si>
  <si>
    <t xml:space="preserve">243 CM ALTO X 124 ANCHO </t>
  </si>
  <si>
    <t>BACKING LAPIDA MADERA OVALADO DOBLE FAZ  ROSADO/ AZUL</t>
  </si>
  <si>
    <t xml:space="preserve">1.80 CM ALTO X 80 CM ANCHO </t>
  </si>
  <si>
    <t xml:space="preserve">1.60 ALTO X 80 CM ANCHO  </t>
  </si>
  <si>
    <t>BACKING SEQUEENS MADERA</t>
  </si>
  <si>
    <t xml:space="preserve">180 CM ALTO X 124 CM ANCHO </t>
  </si>
  <si>
    <t xml:space="preserve">PANEL LENTEJUELA  FUCSIA </t>
  </si>
  <si>
    <t xml:space="preserve">NO SE ALQUILAN </t>
  </si>
  <si>
    <t xml:space="preserve">OK </t>
  </si>
  <si>
    <t xml:space="preserve">REPARAR </t>
  </si>
  <si>
    <t>DETERIO</t>
  </si>
  <si>
    <t xml:space="preserve">2 MTRS ALTO X 2 MTRS ANCHO  </t>
  </si>
  <si>
    <t xml:space="preserve">2 MTRS ALTO X 1,50 CM ANCHO </t>
  </si>
  <si>
    <t xml:space="preserve">2 MTRS ALTO X 1.80 CM ANCHO </t>
  </si>
  <si>
    <t xml:space="preserve">1.90  ALTO  X 80 CM  ANCHO </t>
  </si>
  <si>
    <t xml:space="preserve">2 MTR ALTO X 1.35 ANCHO </t>
  </si>
  <si>
    <t xml:space="preserve">2M DE ALTO X 1 MTRS  DE ANCHO </t>
  </si>
  <si>
    <t>BACKING LAPIDA MADERA MEDIA LUNA  CRUDO</t>
  </si>
  <si>
    <t xml:space="preserve">TAPIZ AZUL REY </t>
  </si>
  <si>
    <t xml:space="preserve">TAPIZ CELESTE  </t>
  </si>
  <si>
    <t xml:space="preserve">TAPIZ ROSADO </t>
  </si>
  <si>
    <t xml:space="preserve">90 CM ALTO X  95 ANCHO </t>
  </si>
  <si>
    <t xml:space="preserve">75 CM ALTO </t>
  </si>
  <si>
    <t>60 CM ALTO</t>
  </si>
  <si>
    <t xml:space="preserve">95 CM ALTO </t>
  </si>
  <si>
    <t xml:space="preserve">1,60CM ALTO - 1.53 CM ALTO </t>
  </si>
  <si>
    <t xml:space="preserve">detalles en orejas </t>
  </si>
  <si>
    <t xml:space="preserve">detalles orejas </t>
  </si>
  <si>
    <t xml:space="preserve">30  CM  x 30 CM </t>
  </si>
  <si>
    <t xml:space="preserve">31  CM  x 30 CM </t>
  </si>
  <si>
    <t xml:space="preserve">32  CM  x 30 CM </t>
  </si>
  <si>
    <t xml:space="preserve">33  CM  x 30 CM </t>
  </si>
  <si>
    <t xml:space="preserve">34  CM  x 30 CM </t>
  </si>
  <si>
    <t xml:space="preserve">ALFOMBRAS REDONDAS D1 </t>
  </si>
  <si>
    <t xml:space="preserve">140 MTRS LARGO X 33 CM ANCHO </t>
  </si>
  <si>
    <t xml:space="preserve">140 MTR LARO X 33 CM ANCHO </t>
  </si>
  <si>
    <t xml:space="preserve">1 MTR X 1 MTRS </t>
  </si>
  <si>
    <t xml:space="preserve">47 CM LARGO </t>
  </si>
  <si>
    <t>28 CM X 28 CM</t>
  </si>
  <si>
    <t xml:space="preserve">20 CM ALTO </t>
  </si>
  <si>
    <t xml:space="preserve">31 CM ALTO </t>
  </si>
  <si>
    <t xml:space="preserve">8 CM ALTO </t>
  </si>
  <si>
    <t xml:space="preserve">17 CM ALTO </t>
  </si>
  <si>
    <t xml:space="preserve">18 CM ALTO </t>
  </si>
  <si>
    <t xml:space="preserve">1.80 MTRS LARGO X 46  CM ANCHO </t>
  </si>
  <si>
    <t xml:space="preserve">23 CM LARGO X 15 CM ANCHO </t>
  </si>
  <si>
    <t xml:space="preserve">20 CM LARGO X 12 CM ANCHO </t>
  </si>
  <si>
    <t xml:space="preserve">mas dos mesas sin 8 patas disponibles </t>
  </si>
  <si>
    <t xml:space="preserve">1 mesa más rajada </t>
  </si>
  <si>
    <t xml:space="preserve">8 en total 1 de esas no se sostiene </t>
  </si>
  <si>
    <t xml:space="preserve">MESON MALETA PLASTICA USO DE SONIDO </t>
  </si>
  <si>
    <t xml:space="preserve">31 CM ALTO X 45 LARGO X 27 ANCHO </t>
  </si>
  <si>
    <t xml:space="preserve">funcionales 9 - 4 sin tapa total  13 unidades </t>
  </si>
  <si>
    <t xml:space="preserve">67 CM ALTO X 48 CM ANCHO </t>
  </si>
  <si>
    <t xml:space="preserve">77 CM ALTO X 56 ANCHO </t>
  </si>
  <si>
    <t xml:space="preserve">MANTEL SPANDEX TIPO BAR BLANCO </t>
  </si>
  <si>
    <t xml:space="preserve">MANTEL SPANDEX TIPO BAR NEGRO </t>
  </si>
  <si>
    <t xml:space="preserve">PUNTOS ECOLOGICOS COMPLETOS </t>
  </si>
  <si>
    <t xml:space="preserve">SEPARADORES DE FILA - PUNTOS ECOLOGICOS </t>
  </si>
  <si>
    <t xml:space="preserve">BACKING REDONDO DORADO </t>
  </si>
  <si>
    <t xml:space="preserve">2 MTR ALTO X 180 ANCHO </t>
  </si>
  <si>
    <t>BACKING LAPIDA MADERA MEDIA LUNA DOBLE FAZ  ROSADO/ AZUL</t>
  </si>
  <si>
    <t xml:space="preserve">185 CM ALTO X 90 CM ANCHO </t>
  </si>
  <si>
    <t xml:space="preserve">170 CM ALTO X 80 CM ANCHO </t>
  </si>
  <si>
    <t xml:space="preserve">160 CM ALTO X 80 CM ANCHO </t>
  </si>
  <si>
    <t xml:space="preserve">1.60 CM ALTO X 80 CM ANCHO  </t>
  </si>
  <si>
    <t xml:space="preserve">12 funcionales con tapa- 12  sin tapas </t>
  </si>
  <si>
    <t xml:space="preserve">CON ESPALDAR MADERA </t>
  </si>
  <si>
    <t xml:space="preserve">SIN ESPALDAR </t>
  </si>
  <si>
    <t xml:space="preserve">120 LARGO  X 60 CM ANCHO X 75 CM ALTO </t>
  </si>
  <si>
    <t xml:space="preserve">180 LARGO  X 90 CM ANCHO  X 75 CM ALTO </t>
  </si>
  <si>
    <t xml:space="preserve">SILLAS CROSBACK NATURAL TIPO BAR </t>
  </si>
  <si>
    <t>TIPO BAR</t>
  </si>
  <si>
    <t xml:space="preserve">NOVIOS </t>
  </si>
  <si>
    <t xml:space="preserve">31 CM </t>
  </si>
  <si>
    <t xml:space="preserve">33 CM </t>
  </si>
  <si>
    <t xml:space="preserve">36 CM </t>
  </si>
  <si>
    <t xml:space="preserve">653 ML </t>
  </si>
  <si>
    <t xml:space="preserve">INDIVIDUALES REDONDOS AZULES </t>
  </si>
  <si>
    <t xml:space="preserve">INDIVIDUALES REDONDOS BEIGE </t>
  </si>
  <si>
    <t xml:space="preserve">BASES PARA TORTAS - PICADAS </t>
  </si>
  <si>
    <t xml:space="preserve">40.5 LARGO X 23 CM ANCHO </t>
  </si>
  <si>
    <t xml:space="preserve">36CM </t>
  </si>
  <si>
    <t xml:space="preserve">PASCUA </t>
  </si>
  <si>
    <t xml:space="preserve">CONEJOS ROSADOS </t>
  </si>
  <si>
    <t xml:space="preserve">CONEJOS AZULES </t>
  </si>
  <si>
    <t xml:space="preserve">CADENA HUEVOS </t>
  </si>
  <si>
    <t xml:space="preserve">BANDEJAS VIDRIO FLOR NAVIDAD SANTINI </t>
  </si>
  <si>
    <t xml:space="preserve">36 CM LARGO X 14 CM ANCHO </t>
  </si>
  <si>
    <t xml:space="preserve">27.5 CM </t>
  </si>
  <si>
    <t xml:space="preserve">27. 5 CM </t>
  </si>
  <si>
    <t>BANDEJA NAVIDAD PINO ( 5 PINOS)</t>
  </si>
  <si>
    <t>27 CM  (50 ML X TAZON)</t>
  </si>
  <si>
    <t xml:space="preserve">10 CM LARGO X 19, 5 ANCHO </t>
  </si>
  <si>
    <t xml:space="preserve">11 ALTO X 23 CM LARGO X 13 ANCHO </t>
  </si>
  <si>
    <t xml:space="preserve">HUEVOS PASCUA COLORES </t>
  </si>
  <si>
    <t xml:space="preserve">ESTANTERIA MULTIUSOS 3 NIVELES </t>
  </si>
  <si>
    <t xml:space="preserve">27 CM X16 CM X 66 CM </t>
  </si>
  <si>
    <t xml:space="preserve">SOPORTE DORADO PARA MESA </t>
  </si>
  <si>
    <t xml:space="preserve">CUCHILLO ACERO PLATEADO </t>
  </si>
  <si>
    <t>MESAS  PICNI NATURAL</t>
  </si>
  <si>
    <t xml:space="preserve">MESA ONDA ROSADA </t>
  </si>
  <si>
    <t>MESA ONDA BLANCA</t>
  </si>
  <si>
    <t xml:space="preserve">MESAS DE CENTRO O AUXILIARES PARA SALAS LOUNGE </t>
  </si>
  <si>
    <t xml:space="preserve">MESA PUFF ROSADA </t>
  </si>
  <si>
    <t xml:space="preserve">MESA PUFF VERDE MENTA </t>
  </si>
  <si>
    <t>MESA PUFF AMARILLA</t>
  </si>
  <si>
    <t xml:space="preserve">MESA PUFF ROJA </t>
  </si>
  <si>
    <t xml:space="preserve">62 CM ALTO  X 37 CM ANCHO </t>
  </si>
  <si>
    <t xml:space="preserve">61 CM alto x 37 ANCHO </t>
  </si>
  <si>
    <t xml:space="preserve">60CM ALTO  X 37 CM ANCHO </t>
  </si>
  <si>
    <t xml:space="preserve">70CM ALTO X 37 CM ANCHO </t>
  </si>
  <si>
    <t xml:space="preserve">MESAS DECORATIVAS </t>
  </si>
  <si>
    <t xml:space="preserve">ESCALERAS-  REPISA </t>
  </si>
  <si>
    <t xml:space="preserve">ARTICULOS MARINOS </t>
  </si>
  <si>
    <t xml:space="preserve">ARTICULOS MEXICANOS </t>
  </si>
  <si>
    <t xml:space="preserve">ARTICULOS BLACK AND WHITE </t>
  </si>
  <si>
    <t xml:space="preserve"> BASES DE LUJO </t>
  </si>
  <si>
    <t>BANDEJAS</t>
  </si>
  <si>
    <t xml:space="preserve">BANDEJA PLATO DECORATIVO BLANCO </t>
  </si>
  <si>
    <t xml:space="preserve">CONTRAPESO CEMENTO </t>
  </si>
  <si>
    <t xml:space="preserve">CONTRAPESO ARENA </t>
  </si>
  <si>
    <t xml:space="preserve">6 CALLE 72 </t>
  </si>
  <si>
    <t xml:space="preserve">COFRES LLUVIA DE SOBRE </t>
  </si>
  <si>
    <t>13 CAJAS X 24 PIEZAS - 6 POR REF</t>
  </si>
  <si>
    <t>18 CAJAS X 24 PZ -</t>
  </si>
  <si>
    <t xml:space="preserve">CENTROS  DE MESA-CARNAVAL </t>
  </si>
  <si>
    <t xml:space="preserve">COPA DECOR </t>
  </si>
  <si>
    <t xml:space="preserve">COPA AMBAR </t>
  </si>
  <si>
    <t xml:space="preserve">FLOREROS -CANDELABROS - CILINDROS </t>
  </si>
  <si>
    <t xml:space="preserve">GRECAS - TERMOS DE CAFÉ </t>
  </si>
  <si>
    <t xml:space="preserve">DECANTADOR - DISPENSADOR DE BEBIDAD </t>
  </si>
  <si>
    <t xml:space="preserve">HIELERAS - PALAS DE HIELO - PINZAS </t>
  </si>
  <si>
    <t xml:space="preserve">PUNTOS ECOLOGICOS </t>
  </si>
  <si>
    <t xml:space="preserve">GRAMA - ALFOMBRS </t>
  </si>
  <si>
    <t>FORROS BACKING -LAZOZ MESA TIPO BAR - FORROS CABA</t>
  </si>
  <si>
    <t xml:space="preserve">INDIVIDUALES </t>
  </si>
  <si>
    <t xml:space="preserve">RACK FERIAS </t>
  </si>
  <si>
    <t>INVENTARIO FINAL DE MOBILIARIO 2025</t>
  </si>
  <si>
    <t xml:space="preserve">ANDRES PALLARES </t>
  </si>
  <si>
    <t xml:space="preserve">CAROLINA BORJA OLIVEROS </t>
  </si>
  <si>
    <t xml:space="preserve">FORROS  SILLA ADULTO </t>
  </si>
  <si>
    <t xml:space="preserve">FORROS SILLA NIÑO </t>
  </si>
  <si>
    <t xml:space="preserve">MESAS 240-180-120-REDONDAS </t>
  </si>
  <si>
    <t>MANTELES SENCILLOS -FALDILLIN - SPANDEX RECTANGULAR 240</t>
  </si>
  <si>
    <t xml:space="preserve">TARIMAS DECORATIVAS </t>
  </si>
  <si>
    <t xml:space="preserve">SONIDO - SOPORTE DE TV </t>
  </si>
  <si>
    <t>RECIBIDO POR:</t>
  </si>
  <si>
    <t xml:space="preserve">ESPEJOS NOVIOS- FERIAS- LANZAMIENTOS </t>
  </si>
  <si>
    <t xml:space="preserve">ESPEJO DE PIE FRESNO </t>
  </si>
  <si>
    <t xml:space="preserve">ESPEJO NEGRO </t>
  </si>
  <si>
    <t xml:space="preserve">BANDEJA PARA SERVIR BAMBU / NEGRA </t>
  </si>
  <si>
    <t>28X20 CM BAMBU /NEGRA FULLSPACKAD</t>
  </si>
  <si>
    <t xml:space="preserve">HABLADOR DE MESA DORADO </t>
  </si>
  <si>
    <t xml:space="preserve">BASE DE TORTA EN VIDRIO BOLAS ALREDEDOR (LIVING) </t>
  </si>
  <si>
    <t xml:space="preserve">LONAS BLANCAS NUEVAS (BECERRA MES AGOSTO) </t>
  </si>
  <si>
    <t xml:space="preserve">CANDELABRO DORADO MEDIANOS </t>
  </si>
  <si>
    <t xml:space="preserve">CANDELABRO DORADO GRANDES </t>
  </si>
  <si>
    <t>17CM ALTO X 7CM ANCHO</t>
  </si>
  <si>
    <t xml:space="preserve">19.7CM ALTO X 7CM ANCHO </t>
  </si>
  <si>
    <t xml:space="preserve">25CM ALTO X 7CM ANCHO </t>
  </si>
  <si>
    <t xml:space="preserve">42CM ALTO X 12CM ANCHO </t>
  </si>
  <si>
    <t>CENTRO DE MESA ENTORCHADO DORADO (TEMU)</t>
  </si>
  <si>
    <t xml:space="preserve">23.2 CM ALTO X 14CM ANCHO- 20.5CM ALTO-14CM ANCHO- 17.4CM ALTO X 14CM ANCHO </t>
  </si>
  <si>
    <t xml:space="preserve">68CM ALTO X 18.5 ANCHO </t>
  </si>
  <si>
    <t xml:space="preserve">50CM ALTO X 19CM ANCHO </t>
  </si>
  <si>
    <t xml:space="preserve">CENTRO DE MESA TROMPETA DORADO (METAL) - L </t>
  </si>
  <si>
    <t xml:space="preserve">CENTRO DE MESA TROMPETA DORADO (METAL) -M </t>
  </si>
  <si>
    <t>CENTRO DE MESA COPA ORO ROSA (METAL)</t>
  </si>
  <si>
    <t xml:space="preserve">1.24CM ALTO X50CM ANCHO </t>
  </si>
  <si>
    <t xml:space="preserve">32.5CM ANCHO X 22CM LARGO </t>
  </si>
  <si>
    <t xml:space="preserve">12CM </t>
  </si>
  <si>
    <t xml:space="preserve">11CM X 11CM </t>
  </si>
  <si>
    <t>2MTR DE LARGO X 38 CM ANCHO</t>
  </si>
  <si>
    <t xml:space="preserve">16CM LARGO X16CM ANCHO X 21CM ALTO </t>
  </si>
  <si>
    <t xml:space="preserve">12CM LARGO X 8CM ANCHO X 16CM ALTO </t>
  </si>
  <si>
    <t xml:space="preserve">20CM X20CM </t>
  </si>
  <si>
    <t xml:space="preserve">3OCM X 30CM </t>
  </si>
  <si>
    <t xml:space="preserve">19CM X 19CM </t>
  </si>
  <si>
    <t xml:space="preserve">40CM LARGO X 30CM ANCHO X 16 ALTO </t>
  </si>
  <si>
    <t>53CM LARGO X 10CM ANCHO</t>
  </si>
  <si>
    <t xml:space="preserve">16CM  X 16 CM </t>
  </si>
  <si>
    <t xml:space="preserve">8CM X 8 CM </t>
  </si>
  <si>
    <t>CHAMPAG</t>
  </si>
  <si>
    <t>15.5 CM X 12.5CM X 91CM</t>
  </si>
  <si>
    <t xml:space="preserve">42CM LARGO X 30CM ANCHOX 10CM ALTO </t>
  </si>
  <si>
    <t xml:space="preserve">G: 30CM LARGO X 23CM ANCHOX 10CM ALTO -P (23CM LARGO X14 ANCHO X 10 ALTO) </t>
  </si>
  <si>
    <t xml:space="preserve">19CM LARGO X 10.5CM ANCHO </t>
  </si>
  <si>
    <t xml:space="preserve">27.4CM LARGO X 27.4CM ANCHO </t>
  </si>
  <si>
    <t xml:space="preserve">33CM X 33CM </t>
  </si>
  <si>
    <t xml:space="preserve">21.6CM LARGO X 21.6CM LARGO </t>
  </si>
  <si>
    <t xml:space="preserve">15CM LARGO X 4CM ANCHO X 10CM ALTO </t>
  </si>
  <si>
    <t xml:space="preserve">39.4CM LARGO X 39.4CM </t>
  </si>
  <si>
    <t xml:space="preserve">73CM LARGO X49CM ANCHO </t>
  </si>
  <si>
    <t xml:space="preserve">71CM LARGO X 49CM ANCHO </t>
  </si>
  <si>
    <t xml:space="preserve">58CM X 58CM </t>
  </si>
  <si>
    <t xml:space="preserve">20CM LARGO X 20CM ANCHO </t>
  </si>
  <si>
    <t xml:space="preserve">30CM LARGO X 29CM ANCHO X 8CM ALTO </t>
  </si>
  <si>
    <t xml:space="preserve">30CM LARGO X 30CM ANCHO X 6CM ALTO </t>
  </si>
  <si>
    <t>1 (40CM X 40CM)</t>
  </si>
  <si>
    <t>1 (35CM X 35CM)</t>
  </si>
  <si>
    <t xml:space="preserve">1 (30CM X 30CM) </t>
  </si>
  <si>
    <t>1 (25CM X 25CM)</t>
  </si>
  <si>
    <t xml:space="preserve">1 (40CM X 40CM) </t>
  </si>
  <si>
    <t>1 (35CM X35CM)</t>
  </si>
  <si>
    <t>1 (31CM LARGO X 27CM ANCHO X 5 ALTO)</t>
  </si>
  <si>
    <t>1 (38.5CM LARGO X 27.5CM ANCHO X 5 ALTO)</t>
  </si>
  <si>
    <t>1 (38CM LARGO X 27CM ANCHO X 5CM ALTO)</t>
  </si>
  <si>
    <t xml:space="preserve">35CM X 35CM </t>
  </si>
  <si>
    <t xml:space="preserve">30CM X 30CM </t>
  </si>
  <si>
    <t>EXTENSIONES BOMBILLOS</t>
  </si>
  <si>
    <t xml:space="preserve">MEDIANAS </t>
  </si>
  <si>
    <t xml:space="preserve">LUZ CALIDA </t>
  </si>
  <si>
    <t xml:space="preserve">2.90 MTR LARGO X 45CM ANCHO </t>
  </si>
  <si>
    <t xml:space="preserve">44CM X 44CM </t>
  </si>
  <si>
    <t xml:space="preserve">2 .93CM LARGO X 45CM ANCHO </t>
  </si>
  <si>
    <t xml:space="preserve">45CM X 45CM </t>
  </si>
  <si>
    <t xml:space="preserve">2.93CM LARGO X 45CM ANCHO </t>
  </si>
  <si>
    <t xml:space="preserve">1.80CM LARGO X 33CM ANCHO </t>
  </si>
  <si>
    <t xml:space="preserve">46CM X 46CM </t>
  </si>
  <si>
    <t xml:space="preserve">43CM LARGO X 35CM ANCHO X 25CM ALTO </t>
  </si>
  <si>
    <t xml:space="preserve">4OCM X 40CM </t>
  </si>
  <si>
    <t xml:space="preserve">24CM X 24CM </t>
  </si>
  <si>
    <t>CESTA ALMA CELESTE PEQUEÑA</t>
  </si>
  <si>
    <t xml:space="preserve">CESTA ALMA GRIS GRANDE </t>
  </si>
  <si>
    <t xml:space="preserve">CESTA ALMA GRIS PEQUEÑA </t>
  </si>
  <si>
    <t xml:space="preserve">CESTA ALMA CELESTE GRANDE </t>
  </si>
  <si>
    <t xml:space="preserve">28CM LARGO X18CM ANCHO X 13CM ALTO </t>
  </si>
  <si>
    <t xml:space="preserve">28CM LARGO X 16CM ANCHO X 11.5CM ALTO </t>
  </si>
  <si>
    <t xml:space="preserve">28CM LARGO X 18CM ANCHO X 13CM ALTO </t>
  </si>
  <si>
    <t xml:space="preserve">21CM LARGO X 16CM ANCHO X 11CM ALTO </t>
  </si>
  <si>
    <t xml:space="preserve">9CM ALTO X 4CM ANCHO </t>
  </si>
  <si>
    <t>GRIS</t>
  </si>
  <si>
    <t xml:space="preserve">NARANJA </t>
  </si>
  <si>
    <t xml:space="preserve">BAMBU </t>
  </si>
  <si>
    <t xml:space="preserve">PLATEADA </t>
  </si>
  <si>
    <t xml:space="preserve">350 ML </t>
  </si>
  <si>
    <t xml:space="preserve">PLATO DE TE BLANCO PORCELANA </t>
  </si>
  <si>
    <t xml:space="preserve">TAZA TE BLANCO PORCELANA </t>
  </si>
  <si>
    <t xml:space="preserve">VIDRIO </t>
  </si>
  <si>
    <t xml:space="preserve">167CM ALTO X 52 ANCHO FRESNO IKORNNES </t>
  </si>
  <si>
    <t xml:space="preserve">167CM ALTO X40CM ANCHO KARMSUND </t>
  </si>
  <si>
    <t xml:space="preserve">29.5CM LARGO X 29.5CM ANCHO X 4CM ALTO </t>
  </si>
  <si>
    <t xml:space="preserve">23CM X 23CM X6 CM ALTO </t>
  </si>
  <si>
    <t xml:space="preserve">13CM X 13CM X 12CM ALTO </t>
  </si>
  <si>
    <t>16.5CM X16.5CM X 14CM ALTO</t>
  </si>
  <si>
    <t xml:space="preserve">15CM ALTO X 6CM ANCHO </t>
  </si>
  <si>
    <t xml:space="preserve">13CM X 13CM X 12.5CM ALTO </t>
  </si>
  <si>
    <t>CILINDRO GRANDE ALTO EN  VIDRIO</t>
  </si>
  <si>
    <t xml:space="preserve">27CM ALTO X 22CM ANCHO </t>
  </si>
  <si>
    <t xml:space="preserve">27CM ALTO X27CM ANCHO </t>
  </si>
  <si>
    <t>1.30 MTRS</t>
  </si>
  <si>
    <t xml:space="preserve">1.30 MTRS </t>
  </si>
  <si>
    <t xml:space="preserve">MODULOS BLANCOS 45 LARGO </t>
  </si>
  <si>
    <t xml:space="preserve">2  SOFA DE 3PUESTOS, 1 DE DOS PUESTOS, O 1 SILLA GHOST </t>
  </si>
  <si>
    <t xml:space="preserve">MUEBLES 3 PUESTOS </t>
  </si>
  <si>
    <t xml:space="preserve">MUEBLES 2 PUESTOS </t>
  </si>
  <si>
    <t>CON ESPALDAR (6 PUESTOS)</t>
  </si>
  <si>
    <t>CON ESPALDAR (8 PUESTOS)</t>
  </si>
  <si>
    <t>SIN ESPALDAR (4 PUESTOS)</t>
  </si>
  <si>
    <t>SIN ESPALDAR (6 PUESTOS)</t>
  </si>
  <si>
    <t xml:space="preserve">CUCHARA ACERO PLATEADA </t>
  </si>
  <si>
    <t>CUCHARA ACERO POSTRE PLATEADA</t>
  </si>
  <si>
    <t xml:space="preserve">TENEDOR ACERO PLATEADO </t>
  </si>
  <si>
    <t xml:space="preserve">PLATEADO </t>
  </si>
  <si>
    <t xml:space="preserve">DORADOS </t>
  </si>
  <si>
    <t xml:space="preserve">VALOR CAJA </t>
  </si>
  <si>
    <t xml:space="preserve">JARRAS MEXICO </t>
  </si>
  <si>
    <t xml:space="preserve">JARRAS VIDRIO </t>
  </si>
  <si>
    <t xml:space="preserve">1,78 LT </t>
  </si>
  <si>
    <t>130000 - 71.000</t>
  </si>
  <si>
    <t xml:space="preserve">CANDELABRO CUADRADO FANALES FANALES </t>
  </si>
  <si>
    <t xml:space="preserve">26CM ALTO X 15 ANCHO </t>
  </si>
  <si>
    <t xml:space="preserve">21CM LARGOX10CM ANCHO </t>
  </si>
  <si>
    <t xml:space="preserve">ESPATULA DE TORTA </t>
  </si>
  <si>
    <t xml:space="preserve">ACERO </t>
  </si>
  <si>
    <t>29.990-16.990</t>
  </si>
  <si>
    <t xml:space="preserve">10CM X10CM X47CM </t>
  </si>
  <si>
    <t>199.990- 100.000</t>
  </si>
  <si>
    <t xml:space="preserve">10CM X10CM X37CM </t>
  </si>
  <si>
    <t>170.000-85000</t>
  </si>
  <si>
    <t xml:space="preserve">FAROL METAL DORADO PEQUEÑO </t>
  </si>
  <si>
    <t xml:space="preserve">10CM X10CM X27CM </t>
  </si>
  <si>
    <t>130.000-65.000</t>
  </si>
  <si>
    <t xml:space="preserve">48CM X 20CM </t>
  </si>
  <si>
    <t xml:space="preserve">BANDEJA LIMONES MELAMINA </t>
  </si>
  <si>
    <t xml:space="preserve">BOWL ENSALADA LIMONES MELAMINA </t>
  </si>
  <si>
    <t xml:space="preserve">19CM - 600 ML </t>
  </si>
  <si>
    <t xml:space="preserve">PLATO PAN- ENTRADA O POSTRE PORCELANA </t>
  </si>
  <si>
    <t xml:space="preserve">PLATO BASE VIDRIO YIVU BLANCO PERLA CON BORDE DORADO </t>
  </si>
  <si>
    <t xml:space="preserve">PLATO BASE VIDRIO YIVU PLATEADO </t>
  </si>
  <si>
    <t xml:space="preserve">PLATO BASE VIDRIO YIVU DORADO BRILLANTE </t>
  </si>
  <si>
    <t xml:space="preserve">INSUMOS </t>
  </si>
  <si>
    <t xml:space="preserve">SPRAY DORADO 8.500 GIGANTE DEL HOGAR DE LA 43 </t>
  </si>
  <si>
    <t xml:space="preserve">SAMOVARES </t>
  </si>
  <si>
    <t>SAMOVAR SENCILLO RECTANGULAR</t>
  </si>
  <si>
    <t xml:space="preserve">9 LITROS - ACERO INOXIDABLE </t>
  </si>
  <si>
    <t xml:space="preserve">BANDEJA ACERO 1/3 </t>
  </si>
  <si>
    <t xml:space="preserve">1/3 ACERO INOXIDABLE </t>
  </si>
  <si>
    <t xml:space="preserve">BANDEJA ACERO 1/2 </t>
  </si>
  <si>
    <t xml:space="preserve">1/2 ACERO INOXIDABLE </t>
  </si>
  <si>
    <t xml:space="preserve">CUCHARON ALPES </t>
  </si>
  <si>
    <t xml:space="preserve">CUCHARA SERVIR ALPES </t>
  </si>
  <si>
    <t xml:space="preserve">PINZAS NYLON FACUSA </t>
  </si>
  <si>
    <t xml:space="preserve">MECHERO FIJO DE SAMOVAR </t>
  </si>
  <si>
    <t>$</t>
  </si>
  <si>
    <t xml:space="preserve">MECHERO X 6 HORAS KEEP-HOT 4ST </t>
  </si>
  <si>
    <t xml:space="preserve">FAROL METAL DORADO GRANDE </t>
  </si>
  <si>
    <t xml:space="preserve">FAROL METAL DORADO MEDIANO </t>
  </si>
  <si>
    <t>AGUA ( 1 BOLSA 5 LITOS  Y MEDIA)</t>
  </si>
  <si>
    <t xml:space="preserve">2 BOLSA 5 LITOS (10 LITROS) </t>
  </si>
  <si>
    <t xml:space="preserve">DESCIRPCION </t>
  </si>
  <si>
    <t xml:space="preserve">REVOLVEDORES </t>
  </si>
  <si>
    <t xml:space="preserve">GRECA X 80 VASOS </t>
  </si>
  <si>
    <t xml:space="preserve">CAFÉ SELLO ROJO </t>
  </si>
  <si>
    <t xml:space="preserve">MESA 240 /180 </t>
  </si>
  <si>
    <t xml:space="preserve">MANTEL SPANDEX B/N </t>
  </si>
  <si>
    <t xml:space="preserve">FALDILLIN BLANCO </t>
  </si>
  <si>
    <t xml:space="preserve">SOPORTE DE VASOS DORADOS </t>
  </si>
  <si>
    <t xml:space="preserve">AROMATICAS FRUTOS ROJOS </t>
  </si>
  <si>
    <t xml:space="preserve">BANDEJA CON FUNDA BLANCA </t>
  </si>
  <si>
    <t xml:space="preserve">SOPORTE DE AZUCAR </t>
  </si>
  <si>
    <t xml:space="preserve">GALLETAS LA RECETA </t>
  </si>
  <si>
    <t xml:space="preserve">CANASTICO PARA GALLETAS </t>
  </si>
  <si>
    <t xml:space="preserve">SERVILLETAS </t>
  </si>
  <si>
    <t xml:space="preserve">SERVILLETERO </t>
  </si>
  <si>
    <t xml:space="preserve">TRANSPORTE IDA Y VUELTA </t>
  </si>
  <si>
    <t xml:space="preserve">OPERARIO </t>
  </si>
  <si>
    <t xml:space="preserve">200 UNIDADES </t>
  </si>
  <si>
    <t xml:space="preserve">AZUCAR SASCHE INCAUCA </t>
  </si>
  <si>
    <t xml:space="preserve">VALORES UNIDAD </t>
  </si>
  <si>
    <t xml:space="preserve">VALOR TOTAL </t>
  </si>
  <si>
    <t xml:space="preserve">VASOS 4 OZ CARTON BLANCOS </t>
  </si>
  <si>
    <t xml:space="preserve">4 OZ X 50 UNIDADES </t>
  </si>
  <si>
    <t xml:space="preserve">X 40 UNIDADES </t>
  </si>
  <si>
    <t xml:space="preserve">X 20 UNIDADES </t>
  </si>
  <si>
    <t xml:space="preserve">SERVICIO DE CAFÉ X 80 VASOS  X 4 HORAS </t>
  </si>
  <si>
    <t xml:space="preserve">MEDIA LIBRA </t>
  </si>
  <si>
    <t xml:space="preserve">500 UNIDADES </t>
  </si>
  <si>
    <t xml:space="preserve">X 150 UNIDADES FAMILIA </t>
  </si>
  <si>
    <t xml:space="preserve">DISPENSADORESCON GRIFO </t>
  </si>
  <si>
    <t xml:space="preserve">TORTERO VIDRIO CON TAPA </t>
  </si>
  <si>
    <t xml:space="preserve">SOPORTE PARA DISPENSADOR CON GRIFO GRIS OSCURO </t>
  </si>
  <si>
    <t xml:space="preserve">GRIS OSCURO </t>
  </si>
  <si>
    <t xml:space="preserve">NO SE ALQUILA </t>
  </si>
  <si>
    <t xml:space="preserve">23 CM ALTO X 10 CM ANCHO </t>
  </si>
  <si>
    <t xml:space="preserve">28 CM ALTO X 8 CM ANCHO </t>
  </si>
  <si>
    <t>17 CM ALTO X 12 CM ANCHO</t>
  </si>
  <si>
    <t xml:space="preserve">BASES REDONDAS ACRILICAS GRANDE </t>
  </si>
  <si>
    <t xml:space="preserve">BASES REDONDAS ACRILICAS MEDIANA </t>
  </si>
  <si>
    <t>BASES REDONDAS ACRILICAS PEQUEÑA</t>
  </si>
  <si>
    <t xml:space="preserve">15 DE DIAMETRO X 12 APROX ALTO </t>
  </si>
  <si>
    <t xml:space="preserve">25 DIAMETRO X 15 CM ALTO </t>
  </si>
  <si>
    <t>30 DIAMETRO X 15CM ALTO</t>
  </si>
  <si>
    <t xml:space="preserve">LAZO FELPADO ROJO </t>
  </si>
  <si>
    <t xml:space="preserve">LAZO FELPADO CREMA </t>
  </si>
  <si>
    <t xml:space="preserve">LAZO FELPADO PALO DE ROSA </t>
  </si>
  <si>
    <t>70 CM X 77 CM GRANDE</t>
  </si>
  <si>
    <t xml:space="preserve">70 CM ANCHO X 77 CM LARGO GRANDE </t>
  </si>
  <si>
    <t xml:space="preserve">29 CMS SOLEIL WHITE </t>
  </si>
  <si>
    <t xml:space="preserve">23 CM SOLEIL WHITE </t>
  </si>
  <si>
    <t>PLATO BASE VIDRIO BORDE PLATA</t>
  </si>
  <si>
    <t>PLATO BASE VIDRIO BORDE ORO</t>
  </si>
  <si>
    <t xml:space="preserve">PLATO BASE VIDRIO BORDE BOLAS  </t>
  </si>
  <si>
    <t xml:space="preserve">PLATOS MELAMINA - ACRILICO </t>
  </si>
  <si>
    <t>31 CM</t>
  </si>
  <si>
    <t xml:space="preserve">MESAS TIPO BAR </t>
  </si>
  <si>
    <t>PLATO LLANO PORCELANA (ALUMAR)</t>
  </si>
  <si>
    <t>PLATO POSTRE/ ENTRADA PORCELANA (ALUMAR)</t>
  </si>
  <si>
    <t>25.000 DEBEN 65 PLATOS</t>
  </si>
  <si>
    <t xml:space="preserve">AVISOS EN MDF </t>
  </si>
  <si>
    <t xml:space="preserve">VENTILADOR PORTATIL </t>
  </si>
  <si>
    <t xml:space="preserve">LAZOS </t>
  </si>
  <si>
    <t xml:space="preserve">PLATOS BASE VIDRIO </t>
  </si>
  <si>
    <t>PLATO BASE VIDRIO YIVU DORADO CHAMPAN</t>
  </si>
  <si>
    <t>BLANCO (COMPRA A VECINA DE ANA)</t>
  </si>
  <si>
    <t>MANTEL REDONDO TELA SENCILLA (MESA DE 8 PUESTOS)</t>
  </si>
  <si>
    <t xml:space="preserve">2 tranformados en 180 </t>
  </si>
  <si>
    <t xml:space="preserve">5 en total menos 2 se tranformo en 180 -  1 que se utilizo para reparar los otros total 2 de 240 lio de la siembra </t>
  </si>
  <si>
    <t>a 6 de esos tienen cocidos por ana lio de la siembra</t>
  </si>
  <si>
    <t xml:space="preserve">2 cocidos por ana lio de la siembra </t>
  </si>
  <si>
    <t>4 NOVIEMBRE 611</t>
  </si>
  <si>
    <t xml:space="preserve">ESTIBAS MADERA </t>
  </si>
  <si>
    <t>1 TABLA SENTIDA (31 OCTUBRE)</t>
  </si>
  <si>
    <t xml:space="preserve">6 MANTELES ROTOS </t>
  </si>
  <si>
    <t xml:space="preserve">SILLAS TIPO BAR  CHIVARY DORADA (4 ORO BRILLANTE) </t>
  </si>
  <si>
    <t xml:space="preserve">SILLAS TIPO BAR CHIVARY PLATEADA </t>
  </si>
  <si>
    <t xml:space="preserve">COJINES BLANCOS </t>
  </si>
  <si>
    <t xml:space="preserve">COJIN CHIVARY BEIGE </t>
  </si>
  <si>
    <t xml:space="preserve">COJINES </t>
  </si>
  <si>
    <t xml:space="preserve">perdido 1 SANDRA CUETE </t>
  </si>
  <si>
    <t xml:space="preserve">FALTAN 3 SILLAS - 10 DAÑDAS </t>
  </si>
  <si>
    <t>2 ROTOS (SANDRA GUETTE)</t>
  </si>
  <si>
    <t xml:space="preserve">SILLAS CROSSBACK </t>
  </si>
  <si>
    <t xml:space="preserve">19.5 CM </t>
  </si>
  <si>
    <t xml:space="preserve">VELAS ACRILICA ROJA </t>
  </si>
  <si>
    <t>VELAS ACRILICA DORADA</t>
  </si>
  <si>
    <t xml:space="preserve">VELAS ACRILICA PLATEADA </t>
  </si>
  <si>
    <t xml:space="preserve">VELAS ACRILICA ROSE GOLD </t>
  </si>
  <si>
    <t xml:space="preserve">DOS CASA CARO </t>
  </si>
  <si>
    <t xml:space="preserve">VELAS ENTORCHADAS LIVING GOUTMET </t>
  </si>
  <si>
    <t xml:space="preserve">EN USO </t>
  </si>
  <si>
    <t xml:space="preserve">5X6 CM </t>
  </si>
  <si>
    <t>(16.900) 25000</t>
  </si>
  <si>
    <t xml:space="preserve">VELON REDONDO PILAS </t>
  </si>
  <si>
    <t xml:space="preserve">VELON PLATEADO PANAMERICANA </t>
  </si>
  <si>
    <t xml:space="preserve">VELON PLATEADO ENTORCHADO PANAMERICANA </t>
  </si>
  <si>
    <t xml:space="preserve">VELAS ENTORCHADAS LARGAS BLANCAS CON DORADO </t>
  </si>
  <si>
    <t xml:space="preserve">2 PARES </t>
  </si>
  <si>
    <t xml:space="preserve">VELAS LARGAS  BLANCAS CON DORADO PANAMERICANA </t>
  </si>
  <si>
    <t xml:space="preserve">VELAS DORADAS CON ROJO LARGAS PANAMERICANA </t>
  </si>
  <si>
    <t xml:space="preserve">cinta led neon luz fria 5 mtrs </t>
  </si>
  <si>
    <t xml:space="preserve">5 mtrs </t>
  </si>
  <si>
    <t xml:space="preserve">1 nueva </t>
  </si>
  <si>
    <t xml:space="preserve">cinta led con cinta x 10 mtrs luz calida </t>
  </si>
  <si>
    <t xml:space="preserve">adaptador 2 amperio </t>
  </si>
  <si>
    <t xml:space="preserve">adaptador 5 amperio cubre 10 mtrs </t>
  </si>
  <si>
    <t xml:space="preserve">COLOR </t>
  </si>
  <si>
    <t xml:space="preserve">VELOS </t>
  </si>
  <si>
    <t xml:space="preserve">MEDIDAS </t>
  </si>
  <si>
    <t xml:space="preserve">BLANCOS </t>
  </si>
  <si>
    <t xml:space="preserve">3 MTR ANCHO  X 5 LARGO </t>
  </si>
  <si>
    <t>7 MTRS ANCHO X 3 MTR LARGO</t>
  </si>
  <si>
    <t xml:space="preserve">10 MTRS ANCHO X 1 MTR LARGO </t>
  </si>
  <si>
    <t xml:space="preserve">6 MTRS ANCHO X 1 MTRS LARGO </t>
  </si>
  <si>
    <t xml:space="preserve">3 MTRS ANCHO X 5 MTR LARGO </t>
  </si>
  <si>
    <t xml:space="preserve">12 MTRS ANCHO X 1 MTRS LARGO </t>
  </si>
  <si>
    <t xml:space="preserve">6 MTRS ANCHO X 5 MTRS LARGO </t>
  </si>
  <si>
    <t xml:space="preserve">3 MTR ANCHO  X 3 LARGO </t>
  </si>
  <si>
    <t xml:space="preserve">3 MTRS ANCHO X MEDIO  MTR LARGO </t>
  </si>
  <si>
    <t xml:space="preserve">1 MTRS ANCHO X 1 MEDIO MTR LARGO </t>
  </si>
  <si>
    <t xml:space="preserve">2 MTRS ANCHO X 1 MTRS LARGO </t>
  </si>
  <si>
    <t xml:space="preserve">VERDE </t>
  </si>
  <si>
    <t xml:space="preserve">16 MTRS ANCHO X MEDIO MTRS LARGO </t>
  </si>
  <si>
    <t xml:space="preserve">12 MTRS ANCHO X MEDIO MTRS LARGO </t>
  </si>
  <si>
    <t xml:space="preserve">MALIN </t>
  </si>
  <si>
    <t xml:space="preserve">10 MTRS ANCHO X 2 MTRS LARGO </t>
  </si>
  <si>
    <t xml:space="preserve">11 MTRS ANCHO X1 MTRS LARGO </t>
  </si>
  <si>
    <t xml:space="preserve">TELA PLATEADA </t>
  </si>
  <si>
    <t xml:space="preserve">2 MTRS ANCHO X 2 MTRS LARGO </t>
  </si>
  <si>
    <t xml:space="preserve">FORRO TELA PLATEADA </t>
  </si>
  <si>
    <t xml:space="preserve">DORADO CON PISCA PLATEADA </t>
  </si>
  <si>
    <t xml:space="preserve">MANTELES REDONDOS DORADO CLARO (YIM) </t>
  </si>
  <si>
    <t xml:space="preserve">3 MTRS Y MEDIO ANCHO X 3 LARGO </t>
  </si>
  <si>
    <t>MANTEL RECTANGULAR DORADO (YIM)</t>
  </si>
  <si>
    <t>MANTELES PICNI CUADROS MORADOS PEQ Y BLANCO (YIM)</t>
  </si>
  <si>
    <t>MANTELES PICNI CUADROS ROSADO PEQ Y BLANCO (YIM)</t>
  </si>
  <si>
    <t xml:space="preserve">MANTELES PICNI ROJOS CUADROS PEQ Y BLANCO (YIM) </t>
  </si>
  <si>
    <t xml:space="preserve">MANTELES PICNI ROSADO BOLAS BLANCA (YIM) </t>
  </si>
  <si>
    <t xml:space="preserve">2 MTRS Y MEDIO ANCHO X 1 MTRS Y MEDIO LARGO </t>
  </si>
  <si>
    <t xml:space="preserve">11 MTTRS ANCHO X 1 MTRS LARGO </t>
  </si>
  <si>
    <t xml:space="preserve">FORROS GRANDES BLANCOS </t>
  </si>
  <si>
    <t xml:space="preserve">FORRO DE COJIN </t>
  </si>
  <si>
    <t xml:space="preserve">2MTRS ANCHO X 5 MTRS LARGO </t>
  </si>
  <si>
    <t>NEGRAS</t>
  </si>
  <si>
    <t xml:space="preserve">KIANAS </t>
  </si>
  <si>
    <t>CALATEA EN MATERA</t>
  </si>
  <si>
    <t>MINI PINO NIEVE 15CM</t>
  </si>
  <si>
    <t>MINI PINO VILLA 15CM</t>
  </si>
  <si>
    <t>MINI PINO HIELO 15CM</t>
  </si>
  <si>
    <t>SET DE ESTRELLAS DE MAR X 6</t>
  </si>
  <si>
    <t xml:space="preserve">SET FIGURAS MARINAS X 6 </t>
  </si>
  <si>
    <t>VELAS DECORATIVAS ESPIRAL IVORY 25CM SET
X2</t>
  </si>
  <si>
    <t>30X17CM</t>
  </si>
  <si>
    <t>20X11CM</t>
  </si>
  <si>
    <t>16CM</t>
  </si>
  <si>
    <t xml:space="preserve">BANDEJA EN BAMBU PEQUENA </t>
  </si>
  <si>
    <t>30X23CM</t>
  </si>
  <si>
    <t>7X33X14CM</t>
  </si>
  <si>
    <t xml:space="preserve">PANERA JACINTO DE AGUA </t>
  </si>
  <si>
    <t>13.5CM</t>
  </si>
  <si>
    <t xml:space="preserve">15 CM </t>
  </si>
  <si>
    <t xml:space="preserve">MINI PINO NIEVE </t>
  </si>
  <si>
    <t xml:space="preserve">15CM </t>
  </si>
  <si>
    <t>X6</t>
  </si>
  <si>
    <t xml:space="preserve">PLATO SNOWFLAKE BLANCO </t>
  </si>
  <si>
    <t>14CM</t>
  </si>
  <si>
    <t xml:space="preserve">19CM </t>
  </si>
  <si>
    <t>24CM</t>
  </si>
  <si>
    <t>16,5 CM</t>
  </si>
  <si>
    <t>11,3 CM</t>
  </si>
  <si>
    <t>11 CM</t>
  </si>
  <si>
    <t xml:space="preserve">TAZON POINSETTIA FORMA DE FLOR ROJA  </t>
  </si>
  <si>
    <t xml:space="preserve">TAZON PRIMAVERA BLANCO </t>
  </si>
  <si>
    <t>MESA TECA NATURAL 180 NATURAL PATAS TORNEADAS</t>
  </si>
  <si>
    <t xml:space="preserve">MESA TECA  NOVIOS -POSTRES  120 NATURAL PATAS TORNEADAS </t>
  </si>
  <si>
    <t xml:space="preserve">se perdio un plato evento 11/12 bety araujo </t>
  </si>
  <si>
    <t>FALTAN 47 SILLAS (4 NOVIEMBRE) - 2 perdidas y pagadas por cleinte  evento marcos villareal (7 diciembre  2025)</t>
  </si>
  <si>
    <t xml:space="preserve">5 rotos en patas evento 5 diciembre 2025 clente sandra guette </t>
  </si>
  <si>
    <t>OK</t>
  </si>
  <si>
    <t xml:space="preserve">5 rotos en las patas </t>
  </si>
  <si>
    <t xml:space="preserve">se perdio uno desconado a la señora Carmen 7 diciembre </t>
  </si>
  <si>
    <t xml:space="preserve">4 vasos perdidos Baltazar 13 diciembre </t>
  </si>
  <si>
    <t xml:space="preserve">perdida una por cleinte fredy 24 diciembre </t>
  </si>
  <si>
    <t xml:space="preserve">partido por fredy el 24 diciembre - 1 plato Yina </t>
  </si>
  <si>
    <t xml:space="preserve">2 sillas perdida total por alberto cliente  13 diciembre </t>
  </si>
  <si>
    <t xml:space="preserve">EXTENSIONES EN CASA 80 </t>
  </si>
  <si>
    <t xml:space="preserve">EXTENSIONES DE 21 MTRS CON 1 TOMA </t>
  </si>
  <si>
    <t xml:space="preserve">EXTENSIONES DE 10 MTRS CON 2 TOMA </t>
  </si>
  <si>
    <t>EXTENSIONES DE 16 MTRS CON 2 TOMA</t>
  </si>
  <si>
    <t xml:space="preserve">EXTENSIONES DE 16 MTRS CON 1 TOMA </t>
  </si>
  <si>
    <t xml:space="preserve">BANDERINES </t>
  </si>
  <si>
    <t xml:space="preserve">ATRIL DE HIERRO BLANCO </t>
  </si>
  <si>
    <t>CHILE ROJO DECORATIVO</t>
  </si>
  <si>
    <t>CHILE AMARILLO DECORATIVO</t>
  </si>
  <si>
    <t xml:space="preserve">90CM LARGO X 29CM ANCHO </t>
  </si>
  <si>
    <t xml:space="preserve">24 NARANJA </t>
  </si>
  <si>
    <t xml:space="preserve">PLATO DE POSTRE / ENTRADA  ESTAMPADO NARANJA </t>
  </si>
  <si>
    <t>PLATO DE POSTRE / ENTRADA  ESTAMPADO AZUL</t>
  </si>
  <si>
    <t>8 AZUL</t>
  </si>
  <si>
    <t xml:space="preserve">MANTEL MEXICANO RECT MOTIVO CALENDARIO </t>
  </si>
  <si>
    <t xml:space="preserve">MANTEL MEXICANO RECTANGULAR CUADROS COLORES </t>
  </si>
  <si>
    <t xml:space="preserve">para pintura </t>
  </si>
  <si>
    <t xml:space="preserve">SOPORTE PARA SALSAS X4 X 7 PAQUETES </t>
  </si>
  <si>
    <t xml:space="preserve">BOLW TAZON ESTAMPADO D1 </t>
  </si>
  <si>
    <t xml:space="preserve">BOLW TAZON MEXICANO </t>
  </si>
  <si>
    <t xml:space="preserve">12 CM X 12 CM - 300 ML (4 IGUALES - 1 DIFERENTE) </t>
  </si>
  <si>
    <t xml:space="preserve">BOLW TAZON CERAMICA SMUKEE D1 VERDE CLARO </t>
  </si>
  <si>
    <t>BOLW TAZON CERAMICA SMUKEE D2 MORADO</t>
  </si>
  <si>
    <t xml:space="preserve">13 CM 600 ML </t>
  </si>
  <si>
    <t xml:space="preserve">CANASTO MEXICANO EN PAJA CON TAPA COLORES </t>
  </si>
  <si>
    <t xml:space="preserve">VERIFICAR </t>
  </si>
  <si>
    <t xml:space="preserve">SOMBRERO MEXICANO ADULTO (PLATEADO - MEXICANO) </t>
  </si>
  <si>
    <t xml:space="preserve">FECHA: ENERO </t>
  </si>
  <si>
    <t>VERIFICADO POR: CAROLINA- YINA</t>
  </si>
  <si>
    <t xml:space="preserve">CANOA PEQUEÑA </t>
  </si>
  <si>
    <t xml:space="preserve">PARTIDO </t>
  </si>
  <si>
    <t xml:space="preserve">RED DE MAR AZUL CON CONCHAS </t>
  </si>
  <si>
    <t xml:space="preserve">QUEDE </t>
  </si>
  <si>
    <t xml:space="preserve">PENDIENTE POR BUSCAR </t>
  </si>
  <si>
    <t>AVISO LED GRADO LUZ CALIDA</t>
  </si>
  <si>
    <t xml:space="preserve">PARTIDO REINALDO </t>
  </si>
  <si>
    <t xml:space="preserve">AVISO MDF HBD PLATEADO </t>
  </si>
  <si>
    <t xml:space="preserve">AVISO MDF HBD DORADO </t>
  </si>
  <si>
    <t xml:space="preserve">AVISO LED AMOR - AMOR VARIOS IDIOMAS CALIDO </t>
  </si>
  <si>
    <t xml:space="preserve">AVISO LED BAUTISMO LUZ FRIA </t>
  </si>
  <si>
    <t xml:space="preserve">BASES RUSTICAS REDONDAS X 3 TEMU </t>
  </si>
  <si>
    <t xml:space="preserve">G:20 CM - M:16 - P:13CM </t>
  </si>
  <si>
    <t xml:space="preserve">1 SENTIDA </t>
  </si>
  <si>
    <t xml:space="preserve">28CM LARGO - ALTO 14 CM - ANCHO 9CM  </t>
  </si>
  <si>
    <t>BASES ACRILICAS RECT DULCES TEMU EXTRAGRANDE (JUEGO X 5) 3-</t>
  </si>
  <si>
    <t>BASES ACRILICAS RECT DULCES TEMU GRANDE  (JUEGO X 5) 3-</t>
  </si>
  <si>
    <t>BASES ACRILICAS RECT DULCES TEMU MEDIANA  (JUEGO X 5) 3-</t>
  </si>
  <si>
    <t>BASES ACRILICAS RECT DULCES TEMU PEQUEÑA (JUEGO X 5) 3-</t>
  </si>
  <si>
    <t>BASES ACRILICAS RECT DULCES TEMU MINI (JUEGO X 5) 3-</t>
  </si>
  <si>
    <t xml:space="preserve">25CM LARGO-ALTO 11CM - ANCHO 9CM </t>
  </si>
  <si>
    <t>23CM LARGO- ALTO 9CM - ANCHO 9CM</t>
  </si>
  <si>
    <t xml:space="preserve">21CM LARGO- ALTO 7CM - ANCHO 9CM </t>
  </si>
  <si>
    <t xml:space="preserve">19CM LARGO- ALTO 5CM -ANCHO 9CM </t>
  </si>
  <si>
    <t xml:space="preserve">MEDIR </t>
  </si>
  <si>
    <t xml:space="preserve">BASE CUPCAKE LABRADO BLANCA 2 NIVELES </t>
  </si>
  <si>
    <t xml:space="preserve">BASE CUPCAKE LABRADO ROSADA 2 NIVELES </t>
  </si>
  <si>
    <t xml:space="preserve">PINTIRA </t>
  </si>
  <si>
    <t xml:space="preserve">RETOQUE PINTURA </t>
  </si>
  <si>
    <t xml:space="preserve">PELADOS </t>
  </si>
  <si>
    <t>(GRA.29.5x27largo)/ (MED.29.5cmX23largo) (PEQ</t>
  </si>
  <si>
    <t xml:space="preserve">MEDIR PEQUEÑA </t>
  </si>
  <si>
    <t xml:space="preserve">BASE CUADRADA VIDRIO AZULOSA </t>
  </si>
  <si>
    <t xml:space="preserve">33 CM DIAMETRO X 15 CM ALTO </t>
  </si>
  <si>
    <t xml:space="preserve">BASE TORTA VIDRIO GRANDE CORRUGADA </t>
  </si>
  <si>
    <t xml:space="preserve">32CM DIAMETRO X 11CM ALTO </t>
  </si>
  <si>
    <t>BASE TORTA VIDRIO GRANDE LISAS</t>
  </si>
  <si>
    <t xml:space="preserve">27CM DIAMETRO X 12CM ALTO </t>
  </si>
  <si>
    <t xml:space="preserve">BASE TORTA VIDRIO MEDIANA LISAS </t>
  </si>
  <si>
    <t xml:space="preserve">BASE TORTA VIDRIO PEQUEÑA LISAS </t>
  </si>
  <si>
    <t xml:space="preserve">20CM DIAMETRO X 12CMA ALTO </t>
  </si>
  <si>
    <t>BASE CALADA BLANCA 2 NIVELES IKEA</t>
  </si>
  <si>
    <t xml:space="preserve">TORTERA MARMOL NEGRA GIRATORIA PARA TORTA IKEA </t>
  </si>
  <si>
    <t xml:space="preserve">OK MEDIR </t>
  </si>
  <si>
    <t xml:space="preserve">8 BUENAS - 1 PARA REPERAR </t>
  </si>
  <si>
    <t xml:space="preserve">9 BUENAS - 1 PARA REPERAR </t>
  </si>
  <si>
    <t xml:space="preserve">TORTERA DORADA CON ESPEJO GRANDE SET X 3 </t>
  </si>
  <si>
    <t xml:space="preserve">BANDEJAS CUADRADAS DORADAS ANTIGUAS DOLLARCITY </t>
  </si>
  <si>
    <t xml:space="preserve">BANDEJAS CUADRADAS PLATEADAS ANTIGUAS DOLLARCITY </t>
  </si>
  <si>
    <t xml:space="preserve">34CM LARGO X 26CM ANCHO </t>
  </si>
  <si>
    <t xml:space="preserve">45CM LARGO X 29CM ANCHO </t>
  </si>
  <si>
    <t xml:space="preserve">BANDEJA PLASTICA ESPEJO PANAMA DORADAS RECT GRANDE </t>
  </si>
  <si>
    <t xml:space="preserve">BANDEJAS PLASTICAS ESPEJO PANAMA DORADAS RECT MEDIANA </t>
  </si>
  <si>
    <t xml:space="preserve">38CM LARGO X 24CM ANCHO </t>
  </si>
  <si>
    <t xml:space="preserve">BANDEJAS PLASTICAS ESPEJO PANAMA DORADAS OVALADA </t>
  </si>
  <si>
    <t xml:space="preserve">39CM LARGO X 22CM ANCHO </t>
  </si>
  <si>
    <t xml:space="preserve">BANDEJAS PLASTICAS ESPEJO PANAMA PLATEADA REC MEDIANA </t>
  </si>
  <si>
    <t xml:space="preserve">28CM LARGO X 24CM ANCHO </t>
  </si>
  <si>
    <t xml:space="preserve">BANDEJAS PLASTICAS ESPEJO PANAMA PLATEADA OVALADA </t>
  </si>
  <si>
    <t>29CM LARGO X 22CM ANCHO</t>
  </si>
  <si>
    <t xml:space="preserve">BANDEJA EN PIEDRAS PLATEADA MEDIANA </t>
  </si>
  <si>
    <t xml:space="preserve">BANDEJA EN PIEDRAS DORADA MEDIANA </t>
  </si>
  <si>
    <t xml:space="preserve">32CM X 42CM </t>
  </si>
  <si>
    <t xml:space="preserve">BANDEJA MESEROS MUNAL SIN FUNDA </t>
  </si>
  <si>
    <t xml:space="preserve">BANDEJA MESEROS MUNAL CON FUNDA </t>
  </si>
  <si>
    <t xml:space="preserve">FUNDAS </t>
  </si>
  <si>
    <t xml:space="preserve">BUSCAR PRECIO </t>
  </si>
  <si>
    <t xml:space="preserve">BANDEJA MELAMINA  RECTANGULAR NEGRA CON BORDE DORADO </t>
  </si>
  <si>
    <t xml:space="preserve">BANDEJA MELAMINA FLORAL </t>
  </si>
  <si>
    <t>BANDEJA CENTRO DE MESA DORADO REDFLAG D1</t>
  </si>
  <si>
    <t>BANDEJA CENTRO DE MESA PLATEADO REDFLAG  D1</t>
  </si>
  <si>
    <t xml:space="preserve">CONTAR </t>
  </si>
  <si>
    <t xml:space="preserve">BACKING FOLLAJE VERDE NEGRO CON PATAS </t>
  </si>
  <si>
    <t xml:space="preserve">1.85 CM ALTO X 90 CM ANCHO   </t>
  </si>
  <si>
    <t>BACKING LAPIDA MADERA OVALADO DOBLE FAZ  BEIGE / LILA</t>
  </si>
  <si>
    <t>BACKING LAPIDA MADERA OVALADO  DOBLE FAZ  BEIGE / LILA</t>
  </si>
  <si>
    <t>BACKING LAPIDA MADERA MEDIA LUNA DOBLE FAZ BEIGE / LILA</t>
  </si>
  <si>
    <t xml:space="preserve">BACKING REPISA BEIGE </t>
  </si>
  <si>
    <t>1 PANEL MALTRATADO</t>
  </si>
  <si>
    <t xml:space="preserve">1,50 ALTO, ANCHO 90CM </t>
  </si>
  <si>
    <t xml:space="preserve">VIEJOS </t>
  </si>
  <si>
    <t xml:space="preserve">OK MARIPOSAS </t>
  </si>
  <si>
    <t>OK DETALLES</t>
  </si>
  <si>
    <t xml:space="preserve">BACKING TUBILAR OVALADO AZUL BEBE </t>
  </si>
  <si>
    <t>BACKING LAPIDA MADERA OVALADO DOBLE FAZ BLANCO / BEIGE</t>
  </si>
  <si>
    <t xml:space="preserve">BACKING LAPIDA MADERA OVALADO DOBLE FAZ  BLANCO / BEIGE </t>
  </si>
  <si>
    <t xml:space="preserve">BACKING LAPIDA MADERA MEDIA LUNA DOBLE FAZ BLANCO / BEIGE </t>
  </si>
  <si>
    <t xml:space="preserve">BACKING 3D ROSADO </t>
  </si>
  <si>
    <t xml:space="preserve">BACKING 3D BEIGE </t>
  </si>
  <si>
    <t xml:space="preserve">2 MTRS ALTO X 1.30 MTRS ANCHO </t>
  </si>
  <si>
    <t xml:space="preserve">2 MTR ATO X 1.30 MTRS  ANCHO </t>
  </si>
  <si>
    <t xml:space="preserve">SOLDAR </t>
  </si>
  <si>
    <t xml:space="preserve">BOLAS DISCOS </t>
  </si>
  <si>
    <t xml:space="preserve">FIJAR TAPON </t>
  </si>
  <si>
    <t>BOMBILLOS CALIDOS</t>
  </si>
  <si>
    <t xml:space="preserve">REVISAR </t>
  </si>
  <si>
    <t>CINTA LED BLANCA FRIA  CON ADAPTADOR</t>
  </si>
  <si>
    <t xml:space="preserve">3 MTRS </t>
  </si>
  <si>
    <t>CINTA LED BLANCA FRIA CON ADAPTADOR</t>
  </si>
  <si>
    <t xml:space="preserve">CINTA LED CALIDA DELGADA </t>
  </si>
  <si>
    <t xml:space="preserve">10 MTRS (30 MTRS) </t>
  </si>
  <si>
    <t xml:space="preserve">2 AMPERIOS </t>
  </si>
  <si>
    <t xml:space="preserve">ADAPTADORES LED </t>
  </si>
  <si>
    <t xml:space="preserve">4 AMPERIOS </t>
  </si>
  <si>
    <t xml:space="preserve">SOLDADURA </t>
  </si>
  <si>
    <t>2 DESINFLADO</t>
  </si>
  <si>
    <t xml:space="preserve">REVISAR LEO </t>
  </si>
  <si>
    <t xml:space="preserve">MANTENIMIENTO </t>
  </si>
  <si>
    <t xml:space="preserve">TANQUES DE BASURA AZUL CON TAPA NEGRA </t>
  </si>
  <si>
    <t xml:space="preserve">TANQUES DE BASURA ROJO CON TAPA NEGRA </t>
  </si>
  <si>
    <t xml:space="preserve">TANQUES DE BASURA GRIS  CON TAPA NEGRA </t>
  </si>
  <si>
    <t xml:space="preserve">CAPACIDAD </t>
  </si>
  <si>
    <t>PUNTOS ECOLOGICOS 3 DIVISIONES (B-VERDE-NEGRO)</t>
  </si>
  <si>
    <t xml:space="preserve">CANASTO MIMBRE TIPO FLORERO YIM GRANDE </t>
  </si>
  <si>
    <t xml:space="preserve">CANASTO MIMBRE TIPO FLORERO YIM MEDIANO </t>
  </si>
  <si>
    <t xml:space="preserve">CANASTO MIMBRE TIPO FLORERO YIM PEQUEÑO </t>
  </si>
  <si>
    <t xml:space="preserve">CANASTO BEIGE CON BLANCO GRANDE </t>
  </si>
  <si>
    <t>CANASTO MIMBRE BEIGE CON MARRON OREJAS GRANDE CON TAPA YIM</t>
  </si>
  <si>
    <t>CANASTO MIMBRE BEIGE CON MARRON OREJAS MEDIANO CON TAPA YIM</t>
  </si>
  <si>
    <t>CANASTO TEJIDO BEIGE YIM</t>
  </si>
  <si>
    <t>CANASTOS REDONDOS FIQUE MEDIANOS JACINTO YIM</t>
  </si>
  <si>
    <t xml:space="preserve">30CM </t>
  </si>
  <si>
    <t>CANASTOS OVALADOS FIQUE GRANDES YIM</t>
  </si>
  <si>
    <t>CANASTOS DE FIQUE CON TAPA JACINTO ALCALDIA</t>
  </si>
  <si>
    <t>REVISAR</t>
  </si>
  <si>
    <t xml:space="preserve">CANASTA DE TELA MARRONES </t>
  </si>
  <si>
    <t>CANDELABRO DORADO PEQUEÑO SET X 3 $40.000 (12 JUEGOS)</t>
  </si>
  <si>
    <t xml:space="preserve">CANDELABRO DORADO MATE PEQUEÑO </t>
  </si>
  <si>
    <t xml:space="preserve">22CM ALTO </t>
  </si>
  <si>
    <t xml:space="preserve">CANDELABRO DORADO MATE MEDIANO </t>
  </si>
  <si>
    <t xml:space="preserve">CANDELABRO DORADO MATE GRANDE </t>
  </si>
  <si>
    <t xml:space="preserve">27CM ALTO </t>
  </si>
  <si>
    <t xml:space="preserve">32CM ALTO </t>
  </si>
  <si>
    <t xml:space="preserve">FAROLES FAROLES CASITA CUADRADOS DORADOS </t>
  </si>
  <si>
    <t xml:space="preserve">9CM X 20 CM </t>
  </si>
  <si>
    <t>CANDELABRO GOLD MADERA FALABELLA</t>
  </si>
  <si>
    <t xml:space="preserve">CENTRO DE MESA DE CARNAVAL 3 NEGRAS -  MARIMONDAS </t>
  </si>
  <si>
    <t>HABLADOR DE MESA ESPEJO NUMERADOS DORADOS (1-2-3-4-6-7-8)</t>
  </si>
  <si>
    <t>FALTAN 1</t>
  </si>
  <si>
    <t xml:space="preserve">60CM ALTO X 15 ANCHO </t>
  </si>
  <si>
    <t>CILINDRO VIDRIO ALTO</t>
  </si>
  <si>
    <t xml:space="preserve">CILINDRO VIDRIO </t>
  </si>
  <si>
    <t xml:space="preserve">30CM ALTO X 11 ANCHO </t>
  </si>
  <si>
    <t xml:space="preserve">CLINDRO VIDRIO </t>
  </si>
  <si>
    <t xml:space="preserve">50CM ALTO X 14CM ANCHO </t>
  </si>
  <si>
    <t xml:space="preserve">25CM ALTO X 10CM ANCHO </t>
  </si>
  <si>
    <t xml:space="preserve">NO APARECEN </t>
  </si>
  <si>
    <t xml:space="preserve">20CM ALTO X 14CM ANCHO </t>
  </si>
  <si>
    <t xml:space="preserve">15CM ALTO X 10CM ANCHO </t>
  </si>
  <si>
    <t xml:space="preserve">35CM ALTO X 14CM ANCHO </t>
  </si>
  <si>
    <t xml:space="preserve">20CM ALTO X 10CM ANCHO </t>
  </si>
  <si>
    <t xml:space="preserve">40CM ALTO X 14CM ANCHO </t>
  </si>
  <si>
    <t xml:space="preserve">35CM ALTO X 10CM ANCHO </t>
  </si>
  <si>
    <t xml:space="preserve">80CM ALTO X 16CM ANCHO </t>
  </si>
  <si>
    <t xml:space="preserve">30CM ALTOX 14CM ANCHO </t>
  </si>
  <si>
    <t xml:space="preserve">25CM ALTO X 14CM ANCHO </t>
  </si>
  <si>
    <t xml:space="preserve">23CM ALTO X 10CM ANCHO </t>
  </si>
  <si>
    <t xml:space="preserve">16CM ALTO X10CM ANCHO </t>
  </si>
  <si>
    <t xml:space="preserve">14CM ALTO X 3CM ANCHO </t>
  </si>
  <si>
    <t xml:space="preserve">10CM ALTO X 10CM ANCHO </t>
  </si>
  <si>
    <t xml:space="preserve">CILINDRO VIDRIO EXTRAGRANDE </t>
  </si>
  <si>
    <t xml:space="preserve">20CM ALTO X 10 ANCHO </t>
  </si>
  <si>
    <t xml:space="preserve">24CM ALTO X 10CM ANCHO </t>
  </si>
  <si>
    <t xml:space="preserve">CILINDRO VIDRIO CUADRADO CORRUGADO </t>
  </si>
  <si>
    <t xml:space="preserve">49CM ALTO X 13CM ANCHO </t>
  </si>
  <si>
    <t xml:space="preserve">50CM ALTO X 10CM ANCHO </t>
  </si>
  <si>
    <t xml:space="preserve">CILINDRO VIDRIO OVALADO </t>
  </si>
  <si>
    <t xml:space="preserve">46CM ALTO X 13CM ANCHO </t>
  </si>
  <si>
    <t>CILINDRO VIDRIO VASO ALTO</t>
  </si>
  <si>
    <t xml:space="preserve">40CMALTO X 20CM ANCHO </t>
  </si>
  <si>
    <t xml:space="preserve">CILINDRO FAROL VIDRIO HUECO </t>
  </si>
  <si>
    <t xml:space="preserve">36CM ALTO X 14CM ANCHO </t>
  </si>
  <si>
    <t xml:space="preserve">75CM ALTO X 14 CM ANCHO </t>
  </si>
  <si>
    <t xml:space="preserve">100CM X 25CM ANCHO </t>
  </si>
  <si>
    <t xml:space="preserve">BASE COPA VIDRIO PISO SUPERFICIE PLATO </t>
  </si>
  <si>
    <t xml:space="preserve">BASE COPA VIDRIO PISO GRANDE </t>
  </si>
  <si>
    <t xml:space="preserve">BASE COPA VIDRIO PISO MEDIANO </t>
  </si>
  <si>
    <t xml:space="preserve">102CM ALTO X 24CM ANCHO </t>
  </si>
  <si>
    <t xml:space="preserve">FLORERO VIDRIO CON BASE </t>
  </si>
  <si>
    <t xml:space="preserve">34CM ALTO X 16CM ANCH0 </t>
  </si>
  <si>
    <t xml:space="preserve">40CM ALTO X14CM ANCHO </t>
  </si>
  <si>
    <t xml:space="preserve">22CM ALTO X 8CM DIAMETRO </t>
  </si>
  <si>
    <t xml:space="preserve">FLORERO VIDRIO BORDE CORRUGADO </t>
  </si>
  <si>
    <t xml:space="preserve">29CM ALTO X 12 CM ANCHO </t>
  </si>
  <si>
    <t xml:space="preserve">FLORERO VIDRIO </t>
  </si>
  <si>
    <t xml:space="preserve">20CM ALTO X 12 CM DIAMETRO </t>
  </si>
  <si>
    <t xml:space="preserve">PECERA VIDRIO GRANDE </t>
  </si>
  <si>
    <t>16CM ALTO X 14 DIAME</t>
  </si>
  <si>
    <t xml:space="preserve">PECERA VIDRIO MEDIANA </t>
  </si>
  <si>
    <t>13CM ALTO X 11 DIAME</t>
  </si>
  <si>
    <t xml:space="preserve">PECERA VIDRIO PEQUEÑA </t>
  </si>
  <si>
    <t>10CM ALTO X 9CM DIAME</t>
  </si>
  <si>
    <t xml:space="preserve">PECERA VIDRIO MINI </t>
  </si>
  <si>
    <t xml:space="preserve">6CM ALTO X 5 DIAME </t>
  </si>
  <si>
    <t xml:space="preserve">CANDELABRO CRISTAL LUJO GRANDE </t>
  </si>
  <si>
    <t xml:space="preserve">CANDELABRO CRISTAL LUJO PEQUEÑO </t>
  </si>
  <si>
    <t xml:space="preserve">CANDELABRO VIDRIO PEGADO </t>
  </si>
  <si>
    <t xml:space="preserve">CANDELABRO VIDRIO SOLO </t>
  </si>
  <si>
    <t xml:space="preserve">PORTAVELA VASO CORRUGADO </t>
  </si>
  <si>
    <t>27 CM ALTO X 10CM DIAME</t>
  </si>
  <si>
    <t>23CM ALTO X 10CM DIAME</t>
  </si>
  <si>
    <t xml:space="preserve">12CM ALTO X 5CM ANCHO </t>
  </si>
  <si>
    <t xml:space="preserve">6CM ALTO X 5 ANCHO </t>
  </si>
  <si>
    <t xml:space="preserve">10CM ALTO X 7CM ANCHO </t>
  </si>
  <si>
    <t xml:space="preserve">PORTAVELA COMPOTA </t>
  </si>
  <si>
    <t>BACKING MADERA HEXAGONAL YIM</t>
  </si>
  <si>
    <t xml:space="preserve">BACKING CARNAVAL TAQUILLA YIM SIN PATAS </t>
  </si>
  <si>
    <t xml:space="preserve">42CM ALTO </t>
  </si>
  <si>
    <t xml:space="preserve">SOLITARIOS ESVELTOS VIDRIO YIM </t>
  </si>
  <si>
    <t xml:space="preserve">SOLITARIOS VIDRIO IKEA </t>
  </si>
  <si>
    <t>FAROLES VIDRIO CORAZONES YIM</t>
  </si>
  <si>
    <t>FAROLES VIDRIO LISOS YIM</t>
  </si>
  <si>
    <t xml:space="preserve">REVISAR CUENTA </t>
  </si>
  <si>
    <t xml:space="preserve">FAROLES VIDRIO LISOS GRANDE YIM </t>
  </si>
  <si>
    <t xml:space="preserve">26CM ALTO </t>
  </si>
  <si>
    <t xml:space="preserve">20CM </t>
  </si>
  <si>
    <t xml:space="preserve">FAROLES TRIANGULARES OCRE </t>
  </si>
  <si>
    <t xml:space="preserve">REVISAR - MEDIDAS </t>
  </si>
  <si>
    <t xml:space="preserve">ANGELES EN YESO DORADO </t>
  </si>
  <si>
    <t xml:space="preserve">ANGELES EN YESO BLANCO </t>
  </si>
  <si>
    <t>CANOA RUSTICA PICADAS YIM</t>
  </si>
  <si>
    <t xml:space="preserve">BASE MADERA CUADRADA RUSTICA GRANDE YIM </t>
  </si>
  <si>
    <t xml:space="preserve">BASE MADERA CUADRADA RUSTICA PEQUEÑA YIM </t>
  </si>
  <si>
    <t>BASE MADERA OVALADA RUSTICA GRANDE YIM</t>
  </si>
  <si>
    <t xml:space="preserve">BASE MADERA OVALADA RUSTICA PEQUEÑA YIM </t>
  </si>
  <si>
    <t>BOWL DE MADERA O CENTRO MESA D1</t>
  </si>
  <si>
    <t>TABLA CON MANGO PARA PASABOCAS D1</t>
  </si>
  <si>
    <t xml:space="preserve">TABLA RECTANGULAR PARA PASABOCAS D1 </t>
  </si>
  <si>
    <t>TABLA REDONDA 3 DIVISIONES PARA PASABOCAS D1</t>
  </si>
  <si>
    <t xml:space="preserve">TABLA TIPO FLOR 4 DIVISIONES D1 </t>
  </si>
  <si>
    <t xml:space="preserve">BASE TORRE DOS NIVELES REDONDA BAMBU LIVING </t>
  </si>
  <si>
    <t xml:space="preserve">30CM ALTO X 26 DIAME SUPERIOR </t>
  </si>
  <si>
    <t xml:space="preserve">BANDEJA BAMBU LIVING GRANDE </t>
  </si>
  <si>
    <t xml:space="preserve">BANDEJA BAMBU LIVING PEQUEÑA </t>
  </si>
  <si>
    <t xml:space="preserve">BANDEJA BAMBU OVALADA LIVING </t>
  </si>
  <si>
    <t xml:space="preserve">34CM X 14 CM </t>
  </si>
  <si>
    <t xml:space="preserve">POTERA ASTI </t>
  </si>
  <si>
    <t xml:space="preserve">CANDELABRO LUMIN LIVING </t>
  </si>
  <si>
    <t xml:space="preserve">COPA MALTEADA </t>
  </si>
  <si>
    <t xml:space="preserve">BOMBONERA COPA VIDRIO YIM </t>
  </si>
  <si>
    <t>17CM ALTO X 10CM DIAME</t>
  </si>
  <si>
    <t xml:space="preserve">PLATO BASE TROQUELADO GRANDE (CENTRO MESA) </t>
  </si>
  <si>
    <t xml:space="preserve">CAJA VIDRIO SORTEO </t>
  </si>
  <si>
    <t xml:space="preserve">PEGAR </t>
  </si>
  <si>
    <t xml:space="preserve">36CM ALTO X 36CM ANCHO </t>
  </si>
  <si>
    <t xml:space="preserve">BASES CUADRADAS ESPEJO CAJA MADERA </t>
  </si>
  <si>
    <t xml:space="preserve">10CM ALTO X 13CM ANCHO </t>
  </si>
  <si>
    <t xml:space="preserve">12CM ALTO X 13 ANCHO </t>
  </si>
  <si>
    <t xml:space="preserve">35CM ALTO X 35CM ANCHO </t>
  </si>
  <si>
    <t xml:space="preserve">26CM ALTO X 37CM ANCHO </t>
  </si>
  <si>
    <t>30CM ALTO X 30CM ANCHO</t>
  </si>
  <si>
    <t xml:space="preserve">16CM ALTO X 25CM LARGO X31 CM ANCHO </t>
  </si>
  <si>
    <t xml:space="preserve">REVISAR MEDIDAS </t>
  </si>
  <si>
    <t xml:space="preserve">34CM ALTO X 34CM ANCHO </t>
  </si>
  <si>
    <t>BASES CUADRADA ESPEJO (RAJADAS 2)</t>
  </si>
  <si>
    <t xml:space="preserve">BASE CUADRADA ESPEJO </t>
  </si>
  <si>
    <t>?</t>
  </si>
  <si>
    <t xml:space="preserve">1 PARTIDO </t>
  </si>
  <si>
    <t xml:space="preserve">CANDELABRO LUJO BASE 4 PUESTOS YIM </t>
  </si>
  <si>
    <t>CANDELABRO LUJO BASE 3 PUESTOS YIM</t>
  </si>
  <si>
    <t xml:space="preserve">CILINDRO ACRILICO CUADRADO </t>
  </si>
  <si>
    <t xml:space="preserve">1. 20 ALTO X 40CM ANCHO </t>
  </si>
  <si>
    <t xml:space="preserve">2 PARA ARREGLO MEDIAS DIFERENTES </t>
  </si>
  <si>
    <t xml:space="preserve">CANDELABRO LAMPARA DORADO 4 PUESTOS </t>
  </si>
  <si>
    <t xml:space="preserve">CANDELABRO LAMPARA PLATEADO 4 PUESTOS </t>
  </si>
  <si>
    <t xml:space="preserve">COJIN CHIVARY BEIGE TIPO BAR DORADA </t>
  </si>
  <si>
    <t xml:space="preserve">COJIN CHIVARY BLANCO TIPO BAR </t>
  </si>
  <si>
    <t xml:space="preserve">COJIN RELLENO SIN FUNDA </t>
  </si>
  <si>
    <t xml:space="preserve">COJIN NAVIDAD FLORES </t>
  </si>
  <si>
    <t xml:space="preserve">OK PEGAR </t>
  </si>
  <si>
    <t>FALTA 1 ACTU</t>
  </si>
  <si>
    <t xml:space="preserve">FALTAN 6 ACTUA </t>
  </si>
  <si>
    <t>FALTAN 2 ACTUA</t>
  </si>
  <si>
    <t>FALTA 7 ACTU</t>
  </si>
  <si>
    <t xml:space="preserve">FALTAN 65 POR EL PROVEEDOR </t>
  </si>
  <si>
    <t xml:space="preserve">OK 1 DIFERENTE </t>
  </si>
  <si>
    <t>FALTA 1 ACTUALI</t>
  </si>
  <si>
    <t>FALTAN 26 COPAS (283) NO ACTUALI</t>
  </si>
  <si>
    <t>FALTAN 3 ACTUA</t>
  </si>
  <si>
    <t xml:space="preserve">BOMBONERA VIDRIO TAPA OCRE YIM </t>
  </si>
  <si>
    <t>SENTIDA 1</t>
  </si>
  <si>
    <t>1 CUARTEADA</t>
  </si>
  <si>
    <t>2MTR DE LARGO X 2MTR ANCHO</t>
  </si>
  <si>
    <t xml:space="preserve">2,10 DE LARGO X 2 MTR ANCHO </t>
  </si>
  <si>
    <t xml:space="preserve">2,10 DE LARGO X 180 CM ANCHO </t>
  </si>
  <si>
    <t xml:space="preserve">OK- 1 ROTO ACT </t>
  </si>
  <si>
    <t xml:space="preserve">1.50 MTR LARGO X 2 MTR ANCHO </t>
  </si>
  <si>
    <t xml:space="preserve">2. 10 MTRS LARGO X 2MTR ANCHO </t>
  </si>
  <si>
    <t xml:space="preserve">OK ROTA </t>
  </si>
  <si>
    <t xml:space="preserve">2. 10 MTRS LARGO X 1.60 ANCHO </t>
  </si>
  <si>
    <t xml:space="preserve">1.80 MTRS LARGO X 2 MTR ANCHO </t>
  </si>
  <si>
    <t xml:space="preserve">OK LULLIDO </t>
  </si>
  <si>
    <t xml:space="preserve">2.10 MTTRS LARGO X 2MTR ANCHO </t>
  </si>
  <si>
    <t xml:space="preserve">1 ROTO </t>
  </si>
  <si>
    <t xml:space="preserve">ROTO </t>
  </si>
  <si>
    <t xml:space="preserve">2.10 MTTRS LARGO X 150 ANCHO </t>
  </si>
  <si>
    <t xml:space="preserve">1 ROTA </t>
  </si>
  <si>
    <t>1 (40CM ANCHO X 80 CM ALTO- )</t>
  </si>
  <si>
    <t xml:space="preserve">35CM ANCHO X 76 CM ALTO </t>
  </si>
  <si>
    <t>ROTA</t>
  </si>
  <si>
    <t xml:space="preserve">2MTR DE LARGO X 38 CM ANCHO </t>
  </si>
  <si>
    <t xml:space="preserve">LAZOS FIQUE </t>
  </si>
  <si>
    <t xml:space="preserve">ROLLO FIQUE </t>
  </si>
  <si>
    <t xml:space="preserve">PENDIENTE </t>
  </si>
  <si>
    <t xml:space="preserve">9 CON DETALLES </t>
  </si>
  <si>
    <t xml:space="preserve">OK 1 ROTICO </t>
  </si>
  <si>
    <t xml:space="preserve">14 ROTOS </t>
  </si>
  <si>
    <t xml:space="preserve">1 LULLIDO </t>
  </si>
  <si>
    <t xml:space="preserve">1 CON DETALLE </t>
  </si>
  <si>
    <t xml:space="preserve">1 ROTO Y UNO CON TINTA </t>
  </si>
  <si>
    <t xml:space="preserve">PISO FUCSIA </t>
  </si>
  <si>
    <t xml:space="preserve">ALFOMBRA ROJA </t>
  </si>
  <si>
    <t xml:space="preserve">MANCHAS </t>
  </si>
  <si>
    <t xml:space="preserve">NEGROS 3 LITROS </t>
  </si>
  <si>
    <t xml:space="preserve">TERMOS TERMICOS PARA CAFÉ </t>
  </si>
  <si>
    <t xml:space="preserve">NEGROS 2 LITROS </t>
  </si>
  <si>
    <t>FALTA 1 ACTUA</t>
  </si>
  <si>
    <t xml:space="preserve">DETALLES </t>
  </si>
  <si>
    <t xml:space="preserve">MESA PEQUEÑA FLOR </t>
  </si>
  <si>
    <t>MEDIR OK</t>
  </si>
  <si>
    <t xml:space="preserve">DETALES SOLDAR </t>
  </si>
  <si>
    <t xml:space="preserve">DETALLE </t>
  </si>
  <si>
    <t>MESA INFANTIL PLASTICA AZUL ROSADA</t>
  </si>
  <si>
    <t xml:space="preserve">80CM ALTO X 46 CM ANCHO MEDIANA </t>
  </si>
  <si>
    <t xml:space="preserve">52CM ALTO X 56CM ANCHO </t>
  </si>
  <si>
    <t>DETALLE</t>
  </si>
  <si>
    <t xml:space="preserve">MESA REDONDA DE 8 PUESTOS </t>
  </si>
  <si>
    <t>1 DAÑADA ACTU</t>
  </si>
  <si>
    <t>ACTUALIZADO CON RIGO</t>
  </si>
  <si>
    <t xml:space="preserve">ROJOS </t>
  </si>
  <si>
    <t xml:space="preserve">4 CON DETALLE DE 5 </t>
  </si>
  <si>
    <t xml:space="preserve">2 CON DETALLE </t>
  </si>
  <si>
    <t xml:space="preserve">3 CON DETALLE </t>
  </si>
  <si>
    <t>4 DETALEE</t>
  </si>
  <si>
    <t xml:space="preserve">1 ROTO KAREN CLIENTE DUVILLE </t>
  </si>
  <si>
    <t>ACTUALIZADO</t>
  </si>
  <si>
    <t xml:space="preserve">COCIDOS </t>
  </si>
  <si>
    <t>VERDE JADE</t>
  </si>
  <si>
    <t xml:space="preserve">5 CON DETALLE </t>
  </si>
  <si>
    <t xml:space="preserve">150 CM LARGO X 150CM ANCHO </t>
  </si>
  <si>
    <t xml:space="preserve">PATA ÀRTIDA PATA DERECHA </t>
  </si>
  <si>
    <t xml:space="preserve">DETALLES OREJAS </t>
  </si>
  <si>
    <t xml:space="preserve">ARTICULOS NAVIDAD </t>
  </si>
  <si>
    <t xml:space="preserve"> CAMINOS DE MESA CON SERVILLETAS DE TELA </t>
  </si>
  <si>
    <t xml:space="preserve">ARTICULOS DE REFRIGERACION </t>
  </si>
  <si>
    <t>MODULOS BLANCOS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</si>
</sst>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\ #,##0;[Red]\-&quot;$&quot;\ #,##0"/>
    <numFmt numFmtId="42" formatCode="_-&quot;$&quot;\ * #,##0_-;\-&quot;$&quot;\ * #,##0_-;_-&quot;$&quot;\ * &quot;-&quot;_-;_-@_-"/>
    <numFmt numFmtId="43" formatCode="_-* #,##0.00_-;\-* #,##0.00_-;_-* &quot;-&quot;??_-;_-@_-"/>
    <numFmt numFmtId="164" formatCode="&quot;$&quot;#,##0;[Red]\-&quot;$&quot;#,##0"/>
    <numFmt numFmtId="165" formatCode="_-&quot;$&quot;* #,##0_-;\-&quot;$&quot;* #,##0_-;_-&quot;$&quot;* &quot;-&quot;_-;_-@_-"/>
    <numFmt numFmtId="166" formatCode="_-&quot;XDR&quot;* #,##0.00_-;\-&quot;XDR&quot;* #,##0.00_-;_-&quot;XDR&quot;* &quot;-&quot;??_-;_-@_-"/>
    <numFmt numFmtId="167" formatCode="_-[$$-240A]\ * #,##0.00_-;\-[$$-240A]\ * #,##0.00_-;_-[$$-240A]\ * &quot;-&quot;??_-;_-@_-"/>
    <numFmt numFmtId="168" formatCode="_-[$$-2C0A]\ * #,##0.00_-;\-[$$-2C0A]\ * #,##0.00_-;_-[$$-2C0A]\ * &quot;-&quot;??_-;_-@_-"/>
    <numFmt numFmtId="169" formatCode="_-[$$-240A]\ * #,##0.000_-;\-[$$-240A]\ * #,##0.000_-;_-[$$-240A]\ * &quot;-&quot;??_-;_-@_-"/>
    <numFmt numFmtId="170" formatCode="_-[$$-240A]\ * #,##0_-;\-[$$-240A]\ * #,##0_-;_-[$$-240A]\ * &quot;-&quot;??_-;_-@_-"/>
    <numFmt numFmtId="171" formatCode="_-&quot;XDR&quot;* #,##0.000_-;\-&quot;XDR&quot;* #,##0.000_-;_-&quot;XDR&quot;* &quot;-&quot;??_-;_-@_-"/>
    <numFmt numFmtId="172" formatCode="_-* #,##0_-;\-* #,##0_-;_-* &quot;-&quot;??_-;_-@_-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F3F3F"/>
      <name val="Calibri"/>
      <family val="2"/>
      <scheme val="minor"/>
    </font>
    <font>
      <b/>
      <sz val="20"/>
      <color theme="1"/>
      <name val="Broadway"/>
      <family val="5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8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 (Cuerpo)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0" fontId="4" fillId="0" borderId="0"/>
    <xf numFmtId="165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10" borderId="10" applyNumberFormat="0" applyAlignment="0" applyProtection="0"/>
    <xf numFmtId="166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35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left"/>
    </xf>
    <xf numFmtId="0" fontId="0" fillId="4" borderId="0" xfId="0" applyFill="1"/>
    <xf numFmtId="0" fontId="0" fillId="3" borderId="0" xfId="0" applyFill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1" fillId="0" borderId="0" xfId="0" applyFont="1"/>
    <xf numFmtId="0" fontId="0" fillId="0" borderId="1" xfId="0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0" xfId="0" applyFont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15" borderId="1" xfId="0" applyFill="1" applyBorder="1" applyAlignment="1">
      <alignment horizontal="center"/>
    </xf>
    <xf numFmtId="167" fontId="0" fillId="15" borderId="1" xfId="0" applyNumberForma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 vertical="center"/>
    </xf>
    <xf numFmtId="14" fontId="8" fillId="2" borderId="10" xfId="4" applyNumberFormat="1" applyFont="1" applyFill="1" applyAlignment="1">
      <alignment horizontal="left"/>
    </xf>
    <xf numFmtId="0" fontId="8" fillId="2" borderId="10" xfId="4" applyFont="1" applyFill="1"/>
    <xf numFmtId="14" fontId="8" fillId="2" borderId="10" xfId="4" applyNumberFormat="1" applyFont="1" applyFill="1" applyAlignment="1">
      <alignment horizontal="left" vertical="center" wrapText="1"/>
    </xf>
    <xf numFmtId="0" fontId="8" fillId="2" borderId="10" xfId="4" applyFont="1" applyFill="1" applyAlignment="1">
      <alignment wrapText="1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14" borderId="11" xfId="0" applyFont="1" applyFill="1" applyBorder="1" applyAlignment="1">
      <alignment horizontal="center" vertical="center"/>
    </xf>
    <xf numFmtId="14" fontId="8" fillId="14" borderId="10" xfId="4" applyNumberFormat="1" applyFont="1" applyFill="1" applyAlignment="1">
      <alignment horizontal="left"/>
    </xf>
    <xf numFmtId="0" fontId="8" fillId="14" borderId="10" xfId="4" applyFont="1" applyFill="1" applyAlignment="1">
      <alignment wrapText="1"/>
    </xf>
    <xf numFmtId="0" fontId="1" fillId="2" borderId="0" xfId="0" applyFont="1" applyFill="1"/>
    <xf numFmtId="14" fontId="8" fillId="13" borderId="10" xfId="4" applyNumberFormat="1" applyFont="1" applyFill="1" applyAlignment="1">
      <alignment horizontal="left"/>
    </xf>
    <xf numFmtId="0" fontId="8" fillId="13" borderId="10" xfId="4" applyFont="1" applyFill="1"/>
    <xf numFmtId="168" fontId="8" fillId="13" borderId="10" xfId="4" applyNumberFormat="1" applyFont="1" applyFill="1"/>
    <xf numFmtId="0" fontId="0" fillId="9" borderId="1" xfId="0" applyFill="1" applyBorder="1"/>
    <xf numFmtId="14" fontId="8" fillId="6" borderId="10" xfId="4" applyNumberFormat="1" applyFont="1" applyFill="1" applyAlignment="1">
      <alignment horizontal="left"/>
    </xf>
    <xf numFmtId="0" fontId="8" fillId="6" borderId="10" xfId="4" applyFont="1" applyFill="1"/>
    <xf numFmtId="168" fontId="8" fillId="6" borderId="10" xfId="4" applyNumberFormat="1" applyFont="1" applyFill="1"/>
    <xf numFmtId="0" fontId="8" fillId="9" borderId="14" xfId="4" applyFont="1" applyFill="1" applyBorder="1"/>
    <xf numFmtId="168" fontId="8" fillId="9" borderId="14" xfId="4" applyNumberFormat="1" applyFont="1" applyFill="1" applyBorder="1"/>
    <xf numFmtId="168" fontId="0" fillId="9" borderId="1" xfId="0" applyNumberFormat="1" applyFill="1" applyBorder="1"/>
    <xf numFmtId="168" fontId="8" fillId="14" borderId="10" xfId="4" applyNumberFormat="1" applyFont="1" applyFill="1"/>
    <xf numFmtId="0" fontId="0" fillId="16" borderId="0" xfId="0" applyFill="1"/>
    <xf numFmtId="0" fontId="7" fillId="12" borderId="1" xfId="0" applyFont="1" applyFill="1" applyBorder="1" applyAlignment="1">
      <alignment horizontal="center"/>
    </xf>
    <xf numFmtId="168" fontId="8" fillId="2" borderId="10" xfId="4" applyNumberFormat="1" applyFont="1" applyFill="1"/>
    <xf numFmtId="14" fontId="0" fillId="17" borderId="1" xfId="0" applyNumberFormat="1" applyFill="1" applyBorder="1" applyAlignment="1">
      <alignment horizontal="left"/>
    </xf>
    <xf numFmtId="0" fontId="0" fillId="17" borderId="1" xfId="0" applyFill="1" applyBorder="1" applyAlignment="1">
      <alignment horizontal="left"/>
    </xf>
    <xf numFmtId="0" fontId="0" fillId="17" borderId="1" xfId="0" applyFill="1" applyBorder="1"/>
    <xf numFmtId="168" fontId="0" fillId="17" borderId="1" xfId="0" applyNumberFormat="1" applyFill="1" applyBorder="1"/>
    <xf numFmtId="0" fontId="0" fillId="9" borderId="5" xfId="0" applyFill="1" applyBorder="1"/>
    <xf numFmtId="168" fontId="0" fillId="9" borderId="5" xfId="0" applyNumberFormat="1" applyFill="1" applyBorder="1"/>
    <xf numFmtId="14" fontId="8" fillId="9" borderId="10" xfId="4" applyNumberFormat="1" applyFont="1" applyFill="1" applyAlignment="1">
      <alignment horizontal="left"/>
    </xf>
    <xf numFmtId="14" fontId="8" fillId="9" borderId="13" xfId="4" applyNumberFormat="1" applyFont="1" applyFill="1" applyBorder="1" applyAlignment="1">
      <alignment horizontal="left"/>
    </xf>
    <xf numFmtId="14" fontId="8" fillId="9" borderId="15" xfId="4" applyNumberFormat="1" applyFont="1" applyFill="1" applyBorder="1" applyAlignment="1">
      <alignment horizontal="left"/>
    </xf>
    <xf numFmtId="168" fontId="0" fillId="0" borderId="0" xfId="0" applyNumberFormat="1"/>
    <xf numFmtId="14" fontId="0" fillId="2" borderId="1" xfId="0" applyNumberFormat="1" applyFill="1" applyBorder="1" applyAlignment="1">
      <alignment horizontal="left"/>
    </xf>
    <xf numFmtId="168" fontId="0" fillId="2" borderId="1" xfId="0" applyNumberFormat="1" applyFill="1" applyBorder="1"/>
    <xf numFmtId="168" fontId="0" fillId="2" borderId="1" xfId="5" applyNumberFormat="1" applyFont="1" applyFill="1" applyBorder="1"/>
    <xf numFmtId="0" fontId="0" fillId="7" borderId="0" xfId="0" applyFill="1"/>
    <xf numFmtId="14" fontId="0" fillId="13" borderId="1" xfId="0" applyNumberFormat="1" applyFill="1" applyBorder="1" applyAlignment="1">
      <alignment horizontal="left"/>
    </xf>
    <xf numFmtId="0" fontId="0" fillId="13" borderId="1" xfId="0" applyFill="1" applyBorder="1"/>
    <xf numFmtId="168" fontId="0" fillId="13" borderId="1" xfId="0" applyNumberFormat="1" applyFill="1" applyBorder="1"/>
    <xf numFmtId="0" fontId="1" fillId="13" borderId="9" xfId="0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vertical="center"/>
    </xf>
    <xf numFmtId="0" fontId="0" fillId="13" borderId="0" xfId="0" applyFill="1"/>
    <xf numFmtId="0" fontId="1" fillId="0" borderId="1" xfId="0" applyFont="1" applyBorder="1"/>
    <xf numFmtId="0" fontId="0" fillId="9" borderId="0" xfId="0" applyFill="1"/>
    <xf numFmtId="0" fontId="0" fillId="18" borderId="1" xfId="0" applyFill="1" applyBorder="1"/>
    <xf numFmtId="0" fontId="0" fillId="15" borderId="1" xfId="0" applyFill="1" applyBorder="1"/>
    <xf numFmtId="0" fontId="0" fillId="15" borderId="1" xfId="0" applyFill="1" applyBorder="1" applyAlignment="1">
      <alignment horizontal="left"/>
    </xf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16" xfId="0" applyBorder="1"/>
    <xf numFmtId="167" fontId="0" fillId="3" borderId="1" xfId="0" applyNumberFormat="1" applyFill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3" borderId="9" xfId="0" applyFill="1" applyBorder="1" applyAlignment="1">
      <alignment vertical="center" wrapText="1"/>
    </xf>
    <xf numFmtId="0" fontId="0" fillId="3" borderId="1" xfId="0" applyFill="1" applyBorder="1" applyAlignment="1">
      <alignment horizontal="right"/>
    </xf>
    <xf numFmtId="0" fontId="1" fillId="3" borderId="0" xfId="0" applyFont="1" applyFill="1"/>
    <xf numFmtId="0" fontId="13" fillId="0" borderId="16" xfId="0" applyFont="1" applyBorder="1"/>
    <xf numFmtId="0" fontId="13" fillId="0" borderId="18" xfId="0" applyFont="1" applyBorder="1"/>
    <xf numFmtId="0" fontId="13" fillId="0" borderId="0" xfId="0" applyFont="1"/>
    <xf numFmtId="0" fontId="13" fillId="0" borderId="19" xfId="0" applyFont="1" applyBorder="1"/>
    <xf numFmtId="0" fontId="0" fillId="0" borderId="22" xfId="0" applyBorder="1"/>
    <xf numFmtId="0" fontId="0" fillId="0" borderId="17" xfId="0" applyBorder="1"/>
    <xf numFmtId="164" fontId="0" fillId="0" borderId="0" xfId="0" applyNumberFormat="1"/>
    <xf numFmtId="0" fontId="0" fillId="0" borderId="19" xfId="0" applyBorder="1"/>
    <xf numFmtId="164" fontId="0" fillId="0" borderId="19" xfId="0" applyNumberFormat="1" applyBorder="1"/>
    <xf numFmtId="0" fontId="0" fillId="0" borderId="23" xfId="0" applyBorder="1"/>
    <xf numFmtId="3" fontId="0" fillId="0" borderId="0" xfId="0" applyNumberFormat="1"/>
    <xf numFmtId="14" fontId="0" fillId="0" borderId="1" xfId="0" applyNumberFormat="1" applyBorder="1"/>
    <xf numFmtId="167" fontId="0" fillId="0" borderId="1" xfId="5" applyNumberFormat="1" applyFont="1" applyBorder="1"/>
    <xf numFmtId="0" fontId="12" fillId="3" borderId="0" xfId="0" applyFont="1" applyFill="1"/>
    <xf numFmtId="0" fontId="0" fillId="13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7" borderId="0" xfId="0" applyFill="1" applyAlignment="1">
      <alignment horizontal="center"/>
    </xf>
    <xf numFmtId="0" fontId="1" fillId="15" borderId="1" xfId="0" applyFont="1" applyFill="1" applyBorder="1" applyAlignment="1">
      <alignment horizontal="center"/>
    </xf>
    <xf numFmtId="167" fontId="0" fillId="0" borderId="1" xfId="0" applyNumberFormat="1" applyBorder="1" applyAlignment="1">
      <alignment horizontal="right"/>
    </xf>
    <xf numFmtId="167" fontId="0" fillId="15" borderId="1" xfId="0" applyNumberFormat="1" applyFill="1" applyBorder="1" applyAlignment="1">
      <alignment horizontal="right"/>
    </xf>
    <xf numFmtId="167" fontId="0" fillId="0" borderId="0" xfId="0" applyNumberFormat="1" applyAlignment="1">
      <alignment horizontal="right"/>
    </xf>
    <xf numFmtId="0" fontId="0" fillId="15" borderId="1" xfId="0" applyFill="1" applyBorder="1" applyAlignment="1">
      <alignment horizontal="right"/>
    </xf>
    <xf numFmtId="3" fontId="0" fillId="15" borderId="1" xfId="0" applyNumberFormat="1" applyFill="1" applyBorder="1" applyAlignment="1">
      <alignment horizontal="right"/>
    </xf>
    <xf numFmtId="168" fontId="0" fillId="15" borderId="1" xfId="0" applyNumberFormat="1" applyFill="1" applyBorder="1" applyAlignment="1">
      <alignment horizontal="right"/>
    </xf>
    <xf numFmtId="0" fontId="12" fillId="19" borderId="0" xfId="0" applyFont="1" applyFill="1"/>
    <xf numFmtId="0" fontId="0" fillId="3" borderId="1" xfId="0" applyFill="1" applyBorder="1"/>
    <xf numFmtId="0" fontId="0" fillId="0" borderId="3" xfId="0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15" borderId="3" xfId="0" applyFill="1" applyBorder="1" applyAlignment="1">
      <alignment horizontal="center"/>
    </xf>
    <xf numFmtId="0" fontId="0" fillId="15" borderId="3" xfId="0" applyFill="1" applyBorder="1"/>
    <xf numFmtId="0" fontId="0" fillId="13" borderId="3" xfId="0" applyFill="1" applyBorder="1"/>
    <xf numFmtId="0" fontId="0" fillId="0" borderId="3" xfId="0" applyBorder="1" applyAlignment="1">
      <alignment horizontal="center"/>
    </xf>
    <xf numFmtId="0" fontId="0" fillId="20" borderId="1" xfId="0" applyFill="1" applyBorder="1"/>
    <xf numFmtId="0" fontId="0" fillId="3" borderId="0" xfId="0" applyFill="1" applyAlignment="1">
      <alignment horizontal="left"/>
    </xf>
    <xf numFmtId="0" fontId="0" fillId="0" borderId="3" xfId="0" applyBorder="1"/>
    <xf numFmtId="0" fontId="1" fillId="3" borderId="3" xfId="0" applyFont="1" applyFill="1" applyBorder="1"/>
    <xf numFmtId="0" fontId="12" fillId="22" borderId="0" xfId="0" applyFont="1" applyFill="1"/>
    <xf numFmtId="0" fontId="0" fillId="22" borderId="0" xfId="0" applyFill="1"/>
    <xf numFmtId="0" fontId="12" fillId="9" borderId="0" xfId="0" applyFont="1" applyFill="1"/>
    <xf numFmtId="0" fontId="0" fillId="3" borderId="3" xfId="0" applyFill="1" applyBorder="1"/>
    <xf numFmtId="0" fontId="1" fillId="3" borderId="0" xfId="0" applyFont="1" applyFill="1" applyAlignment="1">
      <alignment horizontal="right"/>
    </xf>
    <xf numFmtId="0" fontId="1" fillId="3" borderId="4" xfId="0" applyFont="1" applyFill="1" applyBorder="1"/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9" borderId="6" xfId="0" applyFill="1" applyBorder="1"/>
    <xf numFmtId="0" fontId="0" fillId="0" borderId="27" xfId="0" applyBorder="1" applyAlignment="1">
      <alignment horizontal="center"/>
    </xf>
    <xf numFmtId="0" fontId="0" fillId="20" borderId="3" xfId="0" applyFill="1" applyBorder="1"/>
    <xf numFmtId="0" fontId="0" fillId="3" borderId="0" xfId="0" applyFill="1" applyAlignment="1">
      <alignment horizontal="center"/>
    </xf>
    <xf numFmtId="167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0" fontId="13" fillId="3" borderId="0" xfId="0" applyFont="1" applyFill="1" applyAlignment="1">
      <alignment horizontal="center"/>
    </xf>
    <xf numFmtId="3" fontId="0" fillId="3" borderId="0" xfId="0" applyNumberFormat="1" applyFill="1" applyAlignment="1">
      <alignment horizontal="right"/>
    </xf>
    <xf numFmtId="0" fontId="15" fillId="0" borderId="1" xfId="0" applyFont="1" applyBorder="1"/>
    <xf numFmtId="0" fontId="15" fillId="0" borderId="0" xfId="0" applyFont="1"/>
    <xf numFmtId="0" fontId="15" fillId="0" borderId="0" xfId="0" applyFont="1" applyAlignment="1">
      <alignment horizontal="center"/>
    </xf>
    <xf numFmtId="167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14" fillId="0" borderId="1" xfId="0" applyFont="1" applyBorder="1" applyAlignment="1">
      <alignment horizontal="left"/>
    </xf>
    <xf numFmtId="167" fontId="14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right"/>
    </xf>
    <xf numFmtId="0" fontId="15" fillId="0" borderId="3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167" fontId="15" fillId="0" borderId="1" xfId="0" applyNumberFormat="1" applyFont="1" applyBorder="1" applyAlignment="1">
      <alignment horizontal="right"/>
    </xf>
    <xf numFmtId="0" fontId="14" fillId="11" borderId="1" xfId="0" applyFont="1" applyFill="1" applyBorder="1" applyAlignment="1">
      <alignment horizontal="center"/>
    </xf>
    <xf numFmtId="0" fontId="14" fillId="11" borderId="3" xfId="0" applyFont="1" applyFill="1" applyBorder="1" applyAlignment="1">
      <alignment horizontal="center"/>
    </xf>
    <xf numFmtId="167" fontId="14" fillId="11" borderId="1" xfId="0" applyNumberFormat="1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4" fillId="3" borderId="1" xfId="0" applyFont="1" applyFill="1" applyBorder="1" applyAlignment="1">
      <alignment horizontal="center"/>
    </xf>
    <xf numFmtId="42" fontId="16" fillId="3" borderId="1" xfId="6" applyFont="1" applyFill="1" applyBorder="1" applyAlignment="1">
      <alignment horizontal="right"/>
    </xf>
    <xf numFmtId="0" fontId="17" fillId="0" borderId="1" xfId="0" applyFont="1" applyBorder="1" applyAlignment="1">
      <alignment horizontal="right"/>
    </xf>
    <xf numFmtId="0" fontId="15" fillId="3" borderId="1" xfId="0" applyFont="1" applyFill="1" applyBorder="1" applyAlignment="1">
      <alignment horizontal="left"/>
    </xf>
    <xf numFmtId="0" fontId="15" fillId="3" borderId="3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center"/>
    </xf>
    <xf numFmtId="42" fontId="15" fillId="3" borderId="1" xfId="6" applyFont="1" applyFill="1" applyBorder="1" applyAlignment="1">
      <alignment horizontal="right"/>
    </xf>
    <xf numFmtId="0" fontId="15" fillId="3" borderId="1" xfId="0" applyFont="1" applyFill="1" applyBorder="1" applyAlignment="1">
      <alignment horizontal="right"/>
    </xf>
    <xf numFmtId="167" fontId="15" fillId="3" borderId="1" xfId="0" applyNumberFormat="1" applyFont="1" applyFill="1" applyBorder="1" applyAlignment="1">
      <alignment horizontal="right"/>
    </xf>
    <xf numFmtId="0" fontId="14" fillId="3" borderId="3" xfId="0" applyFont="1" applyFill="1" applyBorder="1" applyAlignment="1">
      <alignment horizontal="left"/>
    </xf>
    <xf numFmtId="42" fontId="15" fillId="0" borderId="1" xfId="6" applyFont="1" applyBorder="1" applyAlignment="1">
      <alignment horizontal="right"/>
    </xf>
    <xf numFmtId="0" fontId="14" fillId="0" borderId="1" xfId="0" applyFont="1" applyBorder="1" applyAlignment="1">
      <alignment horizontal="right"/>
    </xf>
    <xf numFmtId="0" fontId="14" fillId="3" borderId="1" xfId="0" applyFont="1" applyFill="1" applyBorder="1"/>
    <xf numFmtId="164" fontId="15" fillId="3" borderId="1" xfId="0" applyNumberFormat="1" applyFont="1" applyFill="1" applyBorder="1" applyAlignment="1">
      <alignment horizontal="right"/>
    </xf>
    <xf numFmtId="3" fontId="15" fillId="3" borderId="1" xfId="0" applyNumberFormat="1" applyFont="1" applyFill="1" applyBorder="1" applyAlignment="1">
      <alignment horizontal="right"/>
    </xf>
    <xf numFmtId="6" fontId="15" fillId="3" borderId="1" xfId="0" applyNumberFormat="1" applyFont="1" applyFill="1" applyBorder="1" applyAlignment="1">
      <alignment horizontal="right"/>
    </xf>
    <xf numFmtId="0" fontId="15" fillId="3" borderId="2" xfId="0" applyFont="1" applyFill="1" applyBorder="1" applyAlignment="1">
      <alignment horizontal="left"/>
    </xf>
    <xf numFmtId="0" fontId="15" fillId="3" borderId="4" xfId="0" applyFont="1" applyFill="1" applyBorder="1" applyAlignment="1">
      <alignment horizontal="left"/>
    </xf>
    <xf numFmtId="0" fontId="15" fillId="3" borderId="4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left" wrapText="1"/>
    </xf>
    <xf numFmtId="0" fontId="14" fillId="3" borderId="1" xfId="0" applyFont="1" applyFill="1" applyBorder="1" applyAlignment="1">
      <alignment horizontal="right"/>
    </xf>
    <xf numFmtId="168" fontId="15" fillId="3" borderId="1" xfId="0" applyNumberFormat="1" applyFont="1" applyFill="1" applyBorder="1" applyAlignment="1">
      <alignment horizontal="right"/>
    </xf>
    <xf numFmtId="0" fontId="15" fillId="3" borderId="1" xfId="0" applyFont="1" applyFill="1" applyBorder="1" applyAlignment="1">
      <alignment horizontal="left" vertical="center"/>
    </xf>
    <xf numFmtId="3" fontId="15" fillId="0" borderId="1" xfId="0" applyNumberFormat="1" applyFont="1" applyBorder="1" applyAlignment="1">
      <alignment horizontal="right"/>
    </xf>
    <xf numFmtId="0" fontId="14" fillId="3" borderId="1" xfId="0" applyFont="1" applyFill="1" applyBorder="1" applyAlignment="1">
      <alignment horizontal="left"/>
    </xf>
    <xf numFmtId="3" fontId="14" fillId="3" borderId="1" xfId="0" applyNumberFormat="1" applyFont="1" applyFill="1" applyBorder="1" applyAlignment="1">
      <alignment horizontal="right"/>
    </xf>
    <xf numFmtId="42" fontId="15" fillId="3" borderId="1" xfId="6" applyFont="1" applyFill="1" applyBorder="1" applyAlignment="1">
      <alignment horizontal="center"/>
    </xf>
    <xf numFmtId="169" fontId="15" fillId="3" borderId="1" xfId="5" applyNumberFormat="1" applyFont="1" applyFill="1" applyBorder="1" applyAlignment="1">
      <alignment horizontal="right"/>
    </xf>
    <xf numFmtId="170" fontId="15" fillId="3" borderId="1" xfId="0" applyNumberFormat="1" applyFont="1" applyFill="1" applyBorder="1" applyAlignment="1">
      <alignment horizontal="right"/>
    </xf>
    <xf numFmtId="9" fontId="15" fillId="3" borderId="1" xfId="0" applyNumberFormat="1" applyFont="1" applyFill="1" applyBorder="1" applyAlignment="1">
      <alignment horizontal="left"/>
    </xf>
    <xf numFmtId="170" fontId="15" fillId="3" borderId="1" xfId="5" applyNumberFormat="1" applyFont="1" applyFill="1" applyBorder="1" applyAlignment="1">
      <alignment horizontal="center"/>
    </xf>
    <xf numFmtId="170" fontId="15" fillId="3" borderId="1" xfId="5" applyNumberFormat="1" applyFont="1" applyFill="1" applyBorder="1" applyAlignment="1">
      <alignment horizontal="right"/>
    </xf>
    <xf numFmtId="0" fontId="15" fillId="7" borderId="1" xfId="0" applyFont="1" applyFill="1" applyBorder="1" applyAlignment="1">
      <alignment horizontal="center"/>
    </xf>
    <xf numFmtId="167" fontId="15" fillId="7" borderId="1" xfId="0" applyNumberFormat="1" applyFont="1" applyFill="1" applyBorder="1" applyAlignment="1">
      <alignment horizontal="right"/>
    </xf>
    <xf numFmtId="168" fontId="15" fillId="3" borderId="1" xfId="3" applyNumberFormat="1" applyFont="1" applyFill="1" applyBorder="1" applyAlignment="1">
      <alignment horizontal="right"/>
    </xf>
    <xf numFmtId="0" fontId="15" fillId="3" borderId="0" xfId="0" applyFont="1" applyFill="1"/>
    <xf numFmtId="168" fontId="15" fillId="3" borderId="1" xfId="0" applyNumberFormat="1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6" fillId="3" borderId="3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center"/>
    </xf>
    <xf numFmtId="168" fontId="16" fillId="3" borderId="1" xfId="0" applyNumberFormat="1" applyFont="1" applyFill="1" applyBorder="1" applyAlignment="1">
      <alignment horizontal="right"/>
    </xf>
    <xf numFmtId="0" fontId="16" fillId="3" borderId="1" xfId="0" applyFont="1" applyFill="1" applyBorder="1" applyAlignment="1">
      <alignment horizontal="right"/>
    </xf>
    <xf numFmtId="170" fontId="15" fillId="3" borderId="3" xfId="0" applyNumberFormat="1" applyFont="1" applyFill="1" applyBorder="1" applyAlignment="1">
      <alignment horizontal="right"/>
    </xf>
    <xf numFmtId="0" fontId="18" fillId="3" borderId="3" xfId="0" applyFont="1" applyFill="1" applyBorder="1" applyAlignment="1">
      <alignment horizontal="left" wrapText="1"/>
    </xf>
    <xf numFmtId="0" fontId="14" fillId="15" borderId="1" xfId="0" applyFont="1" applyFill="1" applyBorder="1"/>
    <xf numFmtId="0" fontId="17" fillId="3" borderId="1" xfId="0" applyFont="1" applyFill="1" applyBorder="1"/>
    <xf numFmtId="170" fontId="15" fillId="0" borderId="1" xfId="0" applyNumberFormat="1" applyFont="1" applyBorder="1" applyAlignment="1">
      <alignment horizontal="right"/>
    </xf>
    <xf numFmtId="0" fontId="15" fillId="3" borderId="3" xfId="0" applyFont="1" applyFill="1" applyBorder="1" applyAlignment="1">
      <alignment horizontal="right"/>
    </xf>
    <xf numFmtId="164" fontId="14" fillId="3" borderId="1" xfId="0" applyNumberFormat="1" applyFont="1" applyFill="1" applyBorder="1" applyAlignment="1">
      <alignment horizontal="right"/>
    </xf>
    <xf numFmtId="0" fontId="15" fillId="3" borderId="6" xfId="0" applyFont="1" applyFill="1" applyBorder="1" applyAlignment="1">
      <alignment horizontal="right"/>
    </xf>
    <xf numFmtId="0" fontId="15" fillId="3" borderId="27" xfId="0" applyFont="1" applyFill="1" applyBorder="1" applyAlignment="1">
      <alignment horizontal="left"/>
    </xf>
    <xf numFmtId="0" fontId="15" fillId="3" borderId="6" xfId="0" applyFont="1" applyFill="1" applyBorder="1" applyAlignment="1">
      <alignment horizontal="center"/>
    </xf>
    <xf numFmtId="167" fontId="15" fillId="3" borderId="6" xfId="0" applyNumberFormat="1" applyFont="1" applyFill="1" applyBorder="1" applyAlignment="1">
      <alignment horizontal="right"/>
    </xf>
    <xf numFmtId="171" fontId="15" fillId="3" borderId="6" xfId="5" applyNumberFormat="1" applyFont="1" applyFill="1" applyBorder="1" applyAlignment="1">
      <alignment horizontal="right"/>
    </xf>
    <xf numFmtId="0" fontId="15" fillId="3" borderId="1" xfId="0" applyFont="1" applyFill="1" applyBorder="1"/>
    <xf numFmtId="170" fontId="15" fillId="3" borderId="1" xfId="0" applyNumberFormat="1" applyFont="1" applyFill="1" applyBorder="1" applyAlignment="1">
      <alignment horizontal="center"/>
    </xf>
    <xf numFmtId="3" fontId="15" fillId="3" borderId="4" xfId="0" applyNumberFormat="1" applyFont="1" applyFill="1" applyBorder="1" applyAlignment="1">
      <alignment horizontal="right"/>
    </xf>
    <xf numFmtId="42" fontId="15" fillId="3" borderId="4" xfId="6" applyFont="1" applyFill="1" applyBorder="1" applyAlignment="1">
      <alignment horizontal="right"/>
    </xf>
    <xf numFmtId="0" fontId="15" fillId="3" borderId="0" xfId="0" applyFont="1" applyFill="1" applyAlignment="1">
      <alignment horizontal="right"/>
    </xf>
    <xf numFmtId="0" fontId="14" fillId="3" borderId="3" xfId="0" applyFont="1" applyFill="1" applyBorder="1"/>
    <xf numFmtId="0" fontId="15" fillId="3" borderId="3" xfId="0" applyFont="1" applyFill="1" applyBorder="1"/>
    <xf numFmtId="0" fontId="15" fillId="0" borderId="3" xfId="0" applyFont="1" applyBorder="1"/>
    <xf numFmtId="0" fontId="15" fillId="3" borderId="1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/>
    </xf>
    <xf numFmtId="0" fontId="15" fillId="2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right"/>
    </xf>
    <xf numFmtId="0" fontId="15" fillId="3" borderId="5" xfId="0" applyFont="1" applyFill="1" applyBorder="1" applyAlignment="1">
      <alignment horizontal="left"/>
    </xf>
    <xf numFmtId="0" fontId="15" fillId="3" borderId="7" xfId="0" applyFont="1" applyFill="1" applyBorder="1" applyAlignment="1">
      <alignment horizontal="left"/>
    </xf>
    <xf numFmtId="0" fontId="15" fillId="3" borderId="5" xfId="0" applyFont="1" applyFill="1" applyBorder="1" applyAlignment="1">
      <alignment horizontal="center"/>
    </xf>
    <xf numFmtId="170" fontId="15" fillId="3" borderId="5" xfId="0" applyNumberFormat="1" applyFont="1" applyFill="1" applyBorder="1" applyAlignment="1">
      <alignment horizontal="right"/>
    </xf>
    <xf numFmtId="0" fontId="15" fillId="3" borderId="5" xfId="0" applyFont="1" applyFill="1" applyBorder="1" applyAlignment="1">
      <alignment horizontal="right"/>
    </xf>
    <xf numFmtId="0" fontId="14" fillId="0" borderId="3" xfId="0" applyFont="1" applyBorder="1" applyAlignment="1">
      <alignment horizontal="left"/>
    </xf>
    <xf numFmtId="0" fontId="14" fillId="3" borderId="7" xfId="0" applyFont="1" applyFill="1" applyBorder="1" applyAlignment="1">
      <alignment horizontal="left"/>
    </xf>
    <xf numFmtId="0" fontId="14" fillId="3" borderId="5" xfId="0" applyFont="1" applyFill="1" applyBorder="1" applyAlignment="1">
      <alignment horizontal="right"/>
    </xf>
    <xf numFmtId="0" fontId="16" fillId="3" borderId="1" xfId="0" applyFont="1" applyFill="1" applyBorder="1"/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167" fontId="15" fillId="0" borderId="5" xfId="0" applyNumberFormat="1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16" fillId="3" borderId="3" xfId="0" applyFont="1" applyFill="1" applyBorder="1"/>
    <xf numFmtId="42" fontId="15" fillId="0" borderId="1" xfId="6" applyFont="1" applyBorder="1" applyAlignment="1">
      <alignment horizontal="right" indent="2"/>
    </xf>
    <xf numFmtId="42" fontId="15" fillId="3" borderId="3" xfId="6" applyFont="1" applyFill="1" applyBorder="1" applyAlignment="1">
      <alignment horizontal="center"/>
    </xf>
    <xf numFmtId="0" fontId="15" fillId="3" borderId="6" xfId="0" applyFont="1" applyFill="1" applyBorder="1" applyAlignment="1">
      <alignment horizontal="left"/>
    </xf>
    <xf numFmtId="0" fontId="15" fillId="0" borderId="1" xfId="7" applyFont="1" applyBorder="1"/>
    <xf numFmtId="42" fontId="15" fillId="3" borderId="3" xfId="6" applyFont="1" applyFill="1" applyBorder="1" applyAlignment="1">
      <alignment horizontal="right"/>
    </xf>
    <xf numFmtId="0" fontId="15" fillId="3" borderId="2" xfId="0" applyFont="1" applyFill="1" applyBorder="1"/>
    <xf numFmtId="0" fontId="15" fillId="3" borderId="4" xfId="0" applyFont="1" applyFill="1" applyBorder="1"/>
    <xf numFmtId="3" fontId="15" fillId="3" borderId="1" xfId="0" applyNumberFormat="1" applyFont="1" applyFill="1" applyBorder="1"/>
    <xf numFmtId="0" fontId="15" fillId="7" borderId="2" xfId="0" applyFont="1" applyFill="1" applyBorder="1" applyAlignment="1">
      <alignment horizontal="left"/>
    </xf>
    <xf numFmtId="0" fontId="15" fillId="3" borderId="30" xfId="0" applyFont="1" applyFill="1" applyBorder="1" applyAlignment="1">
      <alignment horizontal="left"/>
    </xf>
    <xf numFmtId="3" fontId="0" fillId="0" borderId="1" xfId="0" applyNumberFormat="1" applyBorder="1"/>
    <xf numFmtId="0" fontId="0" fillId="7" borderId="1" xfId="0" applyFill="1" applyBorder="1"/>
    <xf numFmtId="42" fontId="0" fillId="0" borderId="1" xfId="6" applyFont="1" applyBorder="1"/>
    <xf numFmtId="3" fontId="15" fillId="3" borderId="3" xfId="0" applyNumberFormat="1" applyFont="1" applyFill="1" applyBorder="1" applyAlignment="1">
      <alignment horizontal="right"/>
    </xf>
    <xf numFmtId="0" fontId="15" fillId="22" borderId="1" xfId="0" applyFont="1" applyFill="1" applyBorder="1" applyAlignment="1">
      <alignment horizontal="left"/>
    </xf>
    <xf numFmtId="42" fontId="15" fillId="3" borderId="4" xfId="6" applyFont="1" applyFill="1" applyBorder="1" applyAlignment="1">
      <alignment horizontal="center"/>
    </xf>
    <xf numFmtId="42" fontId="15" fillId="3" borderId="1" xfId="6" applyFont="1" applyFill="1" applyBorder="1"/>
    <xf numFmtId="0" fontId="15" fillId="24" borderId="1" xfId="0" applyFont="1" applyFill="1" applyBorder="1" applyAlignment="1">
      <alignment horizontal="left"/>
    </xf>
    <xf numFmtId="0" fontId="15" fillId="24" borderId="5" xfId="0" applyFont="1" applyFill="1" applyBorder="1" applyAlignment="1">
      <alignment horizontal="left"/>
    </xf>
    <xf numFmtId="0" fontId="15" fillId="7" borderId="3" xfId="0" applyFont="1" applyFill="1" applyBorder="1" applyAlignment="1">
      <alignment horizontal="left"/>
    </xf>
    <xf numFmtId="0" fontId="16" fillId="8" borderId="1" xfId="4" applyFont="1" applyFill="1" applyBorder="1" applyAlignment="1">
      <alignment horizontal="left"/>
    </xf>
    <xf numFmtId="0" fontId="16" fillId="8" borderId="3" xfId="0" applyFont="1" applyFill="1" applyBorder="1" applyAlignment="1">
      <alignment horizontal="left"/>
    </xf>
    <xf numFmtId="0" fontId="16" fillId="8" borderId="1" xfId="4" applyFont="1" applyFill="1" applyBorder="1" applyAlignment="1">
      <alignment horizontal="center"/>
    </xf>
    <xf numFmtId="42" fontId="16" fillId="8" borderId="1" xfId="6" applyFont="1" applyFill="1" applyBorder="1" applyAlignment="1">
      <alignment horizontal="right"/>
    </xf>
    <xf numFmtId="3" fontId="15" fillId="3" borderId="3" xfId="0" applyNumberFormat="1" applyFont="1" applyFill="1" applyBorder="1" applyAlignment="1">
      <alignment horizontal="center"/>
    </xf>
    <xf numFmtId="0" fontId="20" fillId="3" borderId="0" xfId="0" applyFont="1" applyFill="1"/>
    <xf numFmtId="172" fontId="21" fillId="3" borderId="1" xfId="3" applyNumberFormat="1" applyFont="1" applyFill="1" applyBorder="1" applyAlignment="1">
      <alignment horizontal="left" vertical="top"/>
    </xf>
    <xf numFmtId="172" fontId="23" fillId="3" borderId="1" xfId="3" applyNumberFormat="1" applyFont="1" applyFill="1" applyBorder="1" applyAlignment="1">
      <alignment horizontal="right" vertical="top" shrinkToFit="1"/>
    </xf>
    <xf numFmtId="172" fontId="22" fillId="3" borderId="1" xfId="3" applyNumberFormat="1" applyFont="1" applyFill="1" applyBorder="1" applyAlignment="1">
      <alignment horizontal="left" vertical="top"/>
    </xf>
    <xf numFmtId="0" fontId="21" fillId="3" borderId="1" xfId="0" applyFont="1" applyFill="1" applyBorder="1" applyAlignment="1">
      <alignment horizontal="left"/>
    </xf>
    <xf numFmtId="42" fontId="21" fillId="3" borderId="1" xfId="6" applyFont="1" applyFill="1" applyBorder="1" applyAlignment="1">
      <alignment horizontal="right"/>
    </xf>
    <xf numFmtId="172" fontId="21" fillId="3" borderId="1" xfId="3" applyNumberFormat="1" applyFont="1" applyFill="1" applyBorder="1" applyAlignment="1">
      <alignment horizontal="left" vertical="top" wrapText="1"/>
    </xf>
    <xf numFmtId="15" fontId="0" fillId="3" borderId="0" xfId="0" applyNumberFormat="1" applyFill="1"/>
    <xf numFmtId="0" fontId="24" fillId="3" borderId="0" xfId="0" applyFont="1" applyFill="1"/>
    <xf numFmtId="0" fontId="15" fillId="25" borderId="1" xfId="0" applyFont="1" applyFill="1" applyBorder="1" applyAlignment="1">
      <alignment horizontal="left"/>
    </xf>
    <xf numFmtId="0" fontId="15" fillId="16" borderId="3" xfId="0" applyFont="1" applyFill="1" applyBorder="1" applyAlignment="1">
      <alignment horizontal="left"/>
    </xf>
    <xf numFmtId="6" fontId="15" fillId="3" borderId="3" xfId="0" applyNumberFormat="1" applyFont="1" applyFill="1" applyBorder="1" applyAlignment="1">
      <alignment horizontal="right"/>
    </xf>
    <xf numFmtId="0" fontId="15" fillId="0" borderId="9" xfId="0" applyFont="1" applyBorder="1" applyAlignment="1">
      <alignment horizontal="left"/>
    </xf>
    <xf numFmtId="0" fontId="25" fillId="0" borderId="1" xfId="0" applyFont="1" applyBorder="1"/>
    <xf numFmtId="0" fontId="25" fillId="0" borderId="0" xfId="0" applyFont="1" applyAlignment="1">
      <alignment horizontal="center"/>
    </xf>
    <xf numFmtId="0" fontId="26" fillId="0" borderId="1" xfId="0" applyFont="1" applyBorder="1"/>
    <xf numFmtId="167" fontId="15" fillId="3" borderId="3" xfId="0" applyNumberFormat="1" applyFont="1" applyFill="1" applyBorder="1" applyAlignment="1">
      <alignment horizontal="right"/>
    </xf>
    <xf numFmtId="0" fontId="0" fillId="3" borderId="0" xfId="0" applyFill="1" applyAlignment="1">
      <alignment vertical="center" wrapText="1"/>
    </xf>
    <xf numFmtId="0" fontId="0" fillId="11" borderId="0" xfId="0" applyFill="1"/>
    <xf numFmtId="0" fontId="15" fillId="11" borderId="1" xfId="0" applyFont="1" applyFill="1" applyBorder="1" applyAlignment="1">
      <alignment horizontal="left"/>
    </xf>
    <xf numFmtId="0" fontId="0" fillId="16" borderId="0" xfId="0" applyFill="1" applyAlignment="1">
      <alignment horizontal="center"/>
    </xf>
    <xf numFmtId="0" fontId="20" fillId="16" borderId="0" xfId="0" applyFont="1" applyFill="1"/>
    <xf numFmtId="172" fontId="21" fillId="3" borderId="1" xfId="3" applyNumberFormat="1" applyFont="1" applyFill="1" applyBorder="1" applyAlignment="1">
      <alignment horizontal="center" vertical="top"/>
    </xf>
    <xf numFmtId="172" fontId="16" fillId="3" borderId="1" xfId="3" applyNumberFormat="1" applyFont="1" applyFill="1" applyBorder="1" applyAlignment="1">
      <alignment horizontal="left" vertical="top"/>
    </xf>
    <xf numFmtId="0" fontId="15" fillId="0" borderId="2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4" xfId="0" applyFont="1" applyBorder="1" applyAlignment="1">
      <alignment horizontal="center"/>
    </xf>
    <xf numFmtId="42" fontId="15" fillId="0" borderId="3" xfId="6" applyFont="1" applyBorder="1" applyAlignment="1">
      <alignment horizontal="right"/>
    </xf>
    <xf numFmtId="3" fontId="14" fillId="3" borderId="1" xfId="0" applyNumberFormat="1" applyFont="1" applyFill="1" applyBorder="1" applyAlignment="1">
      <alignment horizontal="center"/>
    </xf>
    <xf numFmtId="0" fontId="15" fillId="3" borderId="28" xfId="0" applyFont="1" applyFill="1" applyBorder="1" applyAlignment="1">
      <alignment horizontal="left"/>
    </xf>
    <xf numFmtId="0" fontId="15" fillId="3" borderId="29" xfId="0" applyFont="1" applyFill="1" applyBorder="1" applyAlignment="1">
      <alignment horizontal="left"/>
    </xf>
    <xf numFmtId="0" fontId="15" fillId="3" borderId="29" xfId="0" applyFont="1" applyFill="1" applyBorder="1" applyAlignment="1">
      <alignment horizontal="center"/>
    </xf>
    <xf numFmtId="42" fontId="15" fillId="3" borderId="27" xfId="6" applyFont="1" applyFill="1" applyBorder="1" applyAlignment="1">
      <alignment horizontal="right"/>
    </xf>
    <xf numFmtId="167" fontId="15" fillId="3" borderId="27" xfId="0" applyNumberFormat="1" applyFont="1" applyFill="1" applyBorder="1" applyAlignment="1">
      <alignment horizontal="right"/>
    </xf>
    <xf numFmtId="0" fontId="15" fillId="3" borderId="4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left"/>
    </xf>
    <xf numFmtId="0" fontId="1" fillId="15" borderId="4" xfId="0" applyFont="1" applyFill="1" applyBorder="1" applyAlignment="1">
      <alignment horizontal="left"/>
    </xf>
    <xf numFmtId="0" fontId="20" fillId="16" borderId="9" xfId="0" applyFont="1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14" fillId="21" borderId="2" xfId="0" applyFont="1" applyFill="1" applyBorder="1" applyAlignment="1">
      <alignment horizontal="center"/>
    </xf>
    <xf numFmtId="0" fontId="14" fillId="21" borderId="4" xfId="0" applyFont="1" applyFill="1" applyBorder="1" applyAlignment="1">
      <alignment horizontal="center"/>
    </xf>
    <xf numFmtId="0" fontId="14" fillId="21" borderId="3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7" fillId="21" borderId="2" xfId="0" applyFont="1" applyFill="1" applyBorder="1" applyAlignment="1">
      <alignment horizontal="center"/>
    </xf>
    <xf numFmtId="0" fontId="17" fillId="21" borderId="4" xfId="0" applyFont="1" applyFill="1" applyBorder="1" applyAlignment="1">
      <alignment horizontal="center"/>
    </xf>
    <xf numFmtId="0" fontId="17" fillId="21" borderId="3" xfId="0" applyFont="1" applyFill="1" applyBorder="1" applyAlignment="1">
      <alignment horizontal="center"/>
    </xf>
    <xf numFmtId="0" fontId="14" fillId="15" borderId="2" xfId="0" applyFont="1" applyFill="1" applyBorder="1" applyAlignment="1">
      <alignment horizontal="center"/>
    </xf>
    <xf numFmtId="0" fontId="14" fillId="15" borderId="4" xfId="0" applyFont="1" applyFill="1" applyBorder="1" applyAlignment="1">
      <alignment horizontal="center"/>
    </xf>
    <xf numFmtId="0" fontId="14" fillId="21" borderId="1" xfId="0" applyFont="1" applyFill="1" applyBorder="1" applyAlignment="1">
      <alignment horizontal="center"/>
    </xf>
    <xf numFmtId="0" fontId="14" fillId="21" borderId="28" xfId="0" applyFont="1" applyFill="1" applyBorder="1" applyAlignment="1">
      <alignment horizontal="center"/>
    </xf>
    <xf numFmtId="0" fontId="14" fillId="21" borderId="29" xfId="0" applyFont="1" applyFill="1" applyBorder="1" applyAlignment="1">
      <alignment horizontal="center"/>
    </xf>
    <xf numFmtId="0" fontId="14" fillId="21" borderId="2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4" fillId="8" borderId="2" xfId="0" applyFont="1" applyFill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4" fillId="21" borderId="2" xfId="0" applyFont="1" applyFill="1" applyBorder="1" applyAlignment="1">
      <alignment horizontal="center" vertical="center" wrapText="1"/>
    </xf>
    <xf numFmtId="0" fontId="14" fillId="21" borderId="4" xfId="0" applyFont="1" applyFill="1" applyBorder="1" applyAlignment="1">
      <alignment horizontal="center" vertical="center" wrapText="1"/>
    </xf>
    <xf numFmtId="0" fontId="14" fillId="21" borderId="3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8" borderId="0" xfId="0" applyFont="1" applyFill="1" applyAlignment="1">
      <alignment horizontal="center"/>
    </xf>
    <xf numFmtId="14" fontId="14" fillId="0" borderId="1" xfId="0" applyNumberFormat="1" applyFont="1" applyBorder="1" applyAlignment="1">
      <alignment horizontal="left"/>
    </xf>
    <xf numFmtId="0" fontId="14" fillId="21" borderId="30" xfId="0" applyFont="1" applyFill="1" applyBorder="1" applyAlignment="1">
      <alignment horizontal="center"/>
    </xf>
    <xf numFmtId="0" fontId="0" fillId="16" borderId="9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15" fillId="15" borderId="2" xfId="0" applyFont="1" applyFill="1" applyBorder="1" applyAlignment="1">
      <alignment horizontal="center"/>
    </xf>
    <xf numFmtId="0" fontId="15" fillId="15" borderId="4" xfId="0" applyFont="1" applyFill="1" applyBorder="1" applyAlignment="1">
      <alignment horizontal="center"/>
    </xf>
    <xf numFmtId="0" fontId="15" fillId="15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3" fillId="0" borderId="22" xfId="0" applyFont="1" applyBorder="1"/>
    <xf numFmtId="0" fontId="13" fillId="0" borderId="17" xfId="0" applyFont="1" applyBorder="1"/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14" borderId="11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8">
    <cellStyle name="Hipervínculo" xfId="7" builtinId="8"/>
    <cellStyle name="Millares" xfId="3" builtinId="3"/>
    <cellStyle name="Moneda" xfId="5" builtinId="4"/>
    <cellStyle name="Moneda [0]" xfId="6" builtinId="7"/>
    <cellStyle name="Moneda [0] 2" xfId="2" xr:uid="{674BA4CA-B73F-4F5E-8515-D6CB10B26FC5}"/>
    <cellStyle name="Normal" xfId="0" builtinId="0"/>
    <cellStyle name="Normal 2" xfId="1" xr:uid="{8219BB10-B327-4EE8-84A5-ED8111031421}"/>
    <cellStyle name="Salida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BILIARIO%202021\INVENTARIO%2028%20ABRIL%20ACTUALIZADO%20%20BODEGA%20CARIBE%2072%202021%20(01)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"/>
      <sheetName val="DOTACION "/>
    </sheetNames>
    <sheetDataSet>
      <sheetData sheetId="0">
        <row r="13">
          <cell r="D13">
            <v>13</v>
          </cell>
        </row>
        <row r="17">
          <cell r="D17">
            <v>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27B3-8564-BD44-914A-F82560FE81CD}">
  <dimension ref="A1:G98"/>
  <sheetViews>
    <sheetView topLeftCell="A22" workbookViewId="0">
      <selection activeCell="I52" sqref="I52"/>
    </sheetView>
  </sheetViews>
  <sheetFormatPr baseColWidth="10" defaultRowHeight="15"/>
  <cols>
    <col min="3" max="3" width="57" customWidth="1"/>
  </cols>
  <sheetData>
    <row r="1" spans="1:7">
      <c r="C1" s="292" t="s">
        <v>299</v>
      </c>
      <c r="D1" s="291"/>
      <c r="E1" s="291"/>
      <c r="F1" s="291"/>
      <c r="G1" s="291"/>
    </row>
    <row r="2" spans="1:7">
      <c r="A2" s="5"/>
      <c r="C2" s="107" t="s">
        <v>300</v>
      </c>
      <c r="D2" s="17"/>
      <c r="E2" s="99">
        <v>2</v>
      </c>
      <c r="F2" s="97"/>
      <c r="G2" s="67"/>
    </row>
    <row r="3" spans="1:7">
      <c r="A3" s="5"/>
      <c r="C3" s="107" t="s">
        <v>301</v>
      </c>
      <c r="D3" s="17"/>
      <c r="E3" s="99">
        <v>2</v>
      </c>
      <c r="F3" s="97"/>
      <c r="G3" s="67"/>
    </row>
    <row r="4" spans="1:7">
      <c r="A4" s="5"/>
      <c r="C4" s="107" t="s">
        <v>302</v>
      </c>
      <c r="D4" s="17"/>
      <c r="E4" s="99">
        <v>3</v>
      </c>
      <c r="F4" s="97"/>
      <c r="G4" s="67"/>
    </row>
    <row r="5" spans="1:7">
      <c r="A5" s="5"/>
      <c r="C5" s="107" t="s">
        <v>303</v>
      </c>
      <c r="D5" s="17"/>
      <c r="E5" s="99">
        <v>2</v>
      </c>
      <c r="F5" s="97"/>
      <c r="G5" s="67"/>
    </row>
    <row r="6" spans="1:7">
      <c r="A6" s="5"/>
      <c r="C6" s="291" t="s">
        <v>306</v>
      </c>
      <c r="D6" s="291"/>
      <c r="E6" s="291"/>
      <c r="F6" s="291"/>
      <c r="G6" s="291"/>
    </row>
    <row r="7" spans="1:7">
      <c r="A7" s="5"/>
      <c r="C7" s="107" t="s">
        <v>307</v>
      </c>
      <c r="D7" s="17" t="s">
        <v>313</v>
      </c>
      <c r="E7" s="99">
        <v>4</v>
      </c>
      <c r="F7" s="97">
        <v>15000</v>
      </c>
      <c r="G7" s="67"/>
    </row>
    <row r="8" spans="1:7">
      <c r="A8" s="5"/>
      <c r="C8" s="107" t="s">
        <v>308</v>
      </c>
      <c r="D8" s="17" t="s">
        <v>314</v>
      </c>
      <c r="E8" s="99">
        <v>10</v>
      </c>
      <c r="F8" s="97">
        <v>5000</v>
      </c>
      <c r="G8" s="67"/>
    </row>
    <row r="9" spans="1:7">
      <c r="A9" s="5"/>
      <c r="C9" s="107" t="s">
        <v>309</v>
      </c>
      <c r="D9" s="17" t="s">
        <v>315</v>
      </c>
      <c r="E9" s="99">
        <v>2</v>
      </c>
      <c r="F9" s="101">
        <v>15000</v>
      </c>
      <c r="G9" s="67"/>
    </row>
    <row r="10" spans="1:7">
      <c r="A10" s="5"/>
      <c r="C10" s="107" t="s">
        <v>310</v>
      </c>
      <c r="D10" s="17" t="s">
        <v>316</v>
      </c>
      <c r="E10" s="99">
        <v>3</v>
      </c>
      <c r="F10" s="101">
        <v>5000</v>
      </c>
      <c r="G10" s="67"/>
    </row>
    <row r="11" spans="1:7">
      <c r="A11" s="5"/>
      <c r="C11" s="107" t="s">
        <v>311</v>
      </c>
      <c r="D11" s="17" t="s">
        <v>317</v>
      </c>
      <c r="E11" s="99">
        <v>3</v>
      </c>
      <c r="F11" s="101">
        <v>3000</v>
      </c>
      <c r="G11" s="67"/>
    </row>
    <row r="12" spans="1:7">
      <c r="A12" s="5"/>
      <c r="C12" s="107" t="s">
        <v>312</v>
      </c>
      <c r="D12" s="17" t="s">
        <v>206</v>
      </c>
      <c r="E12" s="99">
        <v>3</v>
      </c>
      <c r="F12" s="101">
        <v>24000</v>
      </c>
      <c r="G12" s="67"/>
    </row>
    <row r="13" spans="1:7">
      <c r="A13" s="5"/>
      <c r="C13" s="107" t="s">
        <v>332</v>
      </c>
      <c r="D13" s="17" t="s">
        <v>206</v>
      </c>
      <c r="E13" s="99">
        <v>1</v>
      </c>
      <c r="F13" s="101">
        <v>40000</v>
      </c>
      <c r="G13" s="67"/>
    </row>
    <row r="14" spans="1:7">
      <c r="A14" s="5"/>
      <c r="C14" s="107" t="s">
        <v>331</v>
      </c>
      <c r="D14" s="17" t="s">
        <v>324</v>
      </c>
      <c r="E14" s="99">
        <v>1</v>
      </c>
      <c r="F14" s="101">
        <v>30000</v>
      </c>
      <c r="G14" s="67"/>
    </row>
    <row r="15" spans="1:7">
      <c r="A15" s="5"/>
      <c r="C15" s="107" t="s">
        <v>323</v>
      </c>
      <c r="D15" s="17" t="s">
        <v>324</v>
      </c>
      <c r="E15" s="99">
        <v>1</v>
      </c>
      <c r="F15" s="101">
        <v>20000</v>
      </c>
      <c r="G15" s="67"/>
    </row>
    <row r="16" spans="1:7">
      <c r="A16" s="5"/>
      <c r="C16" s="291" t="s">
        <v>318</v>
      </c>
      <c r="D16" s="291"/>
      <c r="E16" s="291"/>
      <c r="F16" s="291"/>
      <c r="G16" s="291"/>
    </row>
    <row r="17" spans="1:7">
      <c r="A17" s="5"/>
      <c r="C17" s="107" t="s">
        <v>319</v>
      </c>
      <c r="D17" s="17"/>
      <c r="E17" s="99">
        <v>55</v>
      </c>
      <c r="F17" s="97"/>
      <c r="G17" s="67" t="s">
        <v>328</v>
      </c>
    </row>
    <row r="18" spans="1:7">
      <c r="A18" s="5"/>
      <c r="C18" s="107" t="s">
        <v>320</v>
      </c>
      <c r="D18" s="17"/>
      <c r="E18" s="99">
        <v>55</v>
      </c>
      <c r="F18" s="97"/>
      <c r="G18" s="67" t="s">
        <v>329</v>
      </c>
    </row>
    <row r="19" spans="1:7">
      <c r="A19" s="5"/>
      <c r="C19" s="107" t="s">
        <v>321</v>
      </c>
      <c r="D19" s="17"/>
      <c r="E19" s="99">
        <v>225</v>
      </c>
      <c r="F19" s="97"/>
      <c r="G19" s="67" t="s">
        <v>336</v>
      </c>
    </row>
    <row r="20" spans="1:7">
      <c r="A20" s="5"/>
      <c r="C20" s="107" t="s">
        <v>322</v>
      </c>
      <c r="D20" s="17"/>
      <c r="E20" s="99">
        <v>225</v>
      </c>
      <c r="F20" s="97"/>
      <c r="G20" s="67" t="s">
        <v>335</v>
      </c>
    </row>
    <row r="21" spans="1:7">
      <c r="A21" s="5"/>
      <c r="C21" s="107" t="s">
        <v>325</v>
      </c>
      <c r="D21" s="17"/>
      <c r="E21" s="100">
        <v>1447</v>
      </c>
      <c r="F21" s="97"/>
      <c r="G21" s="67" t="s">
        <v>330</v>
      </c>
    </row>
    <row r="22" spans="1:7">
      <c r="A22" s="5"/>
      <c r="C22" s="107" t="s">
        <v>326</v>
      </c>
      <c r="D22" s="17"/>
      <c r="E22" s="99" t="s">
        <v>327</v>
      </c>
      <c r="F22" s="97"/>
      <c r="G22" s="67"/>
    </row>
    <row r="23" spans="1:7">
      <c r="A23" s="5"/>
      <c r="C23" s="107" t="s">
        <v>337</v>
      </c>
      <c r="D23" s="17"/>
      <c r="E23" s="100">
        <v>1000</v>
      </c>
      <c r="F23" s="97"/>
      <c r="G23" s="68" t="s">
        <v>338</v>
      </c>
    </row>
    <row r="24" spans="1:7">
      <c r="A24" s="5"/>
      <c r="C24" s="107"/>
      <c r="D24" s="17"/>
      <c r="E24" s="99"/>
      <c r="F24" s="97"/>
      <c r="G24" s="67"/>
    </row>
    <row r="25" spans="1:7">
      <c r="C25" s="65" t="s">
        <v>379</v>
      </c>
      <c r="D25" s="7" t="s">
        <v>380</v>
      </c>
      <c r="E25" s="93"/>
      <c r="F25" s="98">
        <v>58000</v>
      </c>
    </row>
    <row r="26" spans="1:7">
      <c r="D26" s="7"/>
      <c r="E26" s="93"/>
      <c r="F26" s="98"/>
    </row>
    <row r="27" spans="1:7">
      <c r="D27" s="7"/>
      <c r="E27" s="93"/>
      <c r="F27" s="98"/>
    </row>
    <row r="28" spans="1:7">
      <c r="C28" s="108" t="s">
        <v>37</v>
      </c>
      <c r="D28" s="92"/>
      <c r="E28" s="74">
        <v>1</v>
      </c>
      <c r="F28" s="96"/>
    </row>
    <row r="29" spans="1:7">
      <c r="C29" s="108" t="s">
        <v>38</v>
      </c>
      <c r="D29" s="92"/>
      <c r="E29" s="74">
        <v>1</v>
      </c>
      <c r="F29" s="96"/>
    </row>
    <row r="30" spans="1:7">
      <c r="C30" s="108" t="s">
        <v>39</v>
      </c>
      <c r="D30" s="92"/>
      <c r="E30" s="74">
        <v>1</v>
      </c>
      <c r="F30" s="96"/>
    </row>
    <row r="31" spans="1:7">
      <c r="C31" s="108" t="s">
        <v>384</v>
      </c>
      <c r="D31" s="92"/>
      <c r="E31" s="74">
        <v>1</v>
      </c>
      <c r="F31" s="96"/>
    </row>
    <row r="32" spans="1:7">
      <c r="C32" s="108" t="s">
        <v>40</v>
      </c>
      <c r="D32" s="92"/>
      <c r="E32" s="74">
        <v>1</v>
      </c>
      <c r="F32" s="96"/>
    </row>
    <row r="33" spans="3:6">
      <c r="C33" s="108" t="s">
        <v>41</v>
      </c>
      <c r="D33" s="92"/>
      <c r="E33" s="74">
        <v>1</v>
      </c>
      <c r="F33" s="96"/>
    </row>
    <row r="34" spans="3:6">
      <c r="C34" s="108" t="s">
        <v>42</v>
      </c>
      <c r="D34" s="92"/>
      <c r="E34" s="74">
        <v>5</v>
      </c>
      <c r="F34" s="96"/>
    </row>
    <row r="35" spans="3:6">
      <c r="C35" s="108" t="s">
        <v>43</v>
      </c>
      <c r="D35" s="92"/>
      <c r="E35" s="74">
        <v>2</v>
      </c>
      <c r="F35" s="96"/>
    </row>
    <row r="36" spans="3:6">
      <c r="C36" s="293" t="s">
        <v>821</v>
      </c>
      <c r="D36" s="294"/>
      <c r="E36" s="294"/>
      <c r="F36" s="119"/>
    </row>
    <row r="37" spans="3:6">
      <c r="C37" s="10" t="s">
        <v>824</v>
      </c>
      <c r="D37" s="104"/>
      <c r="E37" s="1">
        <v>1</v>
      </c>
      <c r="F37" s="96"/>
    </row>
    <row r="38" spans="3:6">
      <c r="C38" s="10" t="s">
        <v>822</v>
      </c>
      <c r="D38" s="104"/>
      <c r="E38" s="1">
        <v>3</v>
      </c>
      <c r="F38" s="96"/>
    </row>
    <row r="39" spans="3:6">
      <c r="C39" s="10" t="s">
        <v>823</v>
      </c>
      <c r="D39" s="104"/>
      <c r="E39" s="1">
        <v>7</v>
      </c>
      <c r="F39" s="96"/>
    </row>
    <row r="40" spans="3:6">
      <c r="C40" s="10" t="s">
        <v>825</v>
      </c>
      <c r="D40" s="104"/>
      <c r="E40" s="1">
        <v>4</v>
      </c>
      <c r="F40" s="96"/>
    </row>
    <row r="41" spans="3:6">
      <c r="C41" s="10" t="s">
        <v>826</v>
      </c>
      <c r="D41" s="104"/>
      <c r="E41" s="1">
        <v>3</v>
      </c>
      <c r="F41" s="96"/>
    </row>
    <row r="42" spans="3:6">
      <c r="C42" s="10" t="s">
        <v>827</v>
      </c>
      <c r="D42" s="104"/>
      <c r="E42" s="1">
        <v>3</v>
      </c>
      <c r="F42" s="96"/>
    </row>
    <row r="43" spans="3:6">
      <c r="C43" s="10" t="s">
        <v>828</v>
      </c>
      <c r="D43" s="104"/>
      <c r="E43" s="1">
        <v>1</v>
      </c>
      <c r="F43" s="96"/>
    </row>
    <row r="44" spans="3:6">
      <c r="C44" s="10" t="s">
        <v>829</v>
      </c>
      <c r="D44" s="104"/>
      <c r="E44" s="1">
        <v>4</v>
      </c>
      <c r="F44" s="96"/>
    </row>
    <row r="45" spans="3:6">
      <c r="C45" s="10" t="s">
        <v>835</v>
      </c>
      <c r="D45" s="104" t="s">
        <v>836</v>
      </c>
      <c r="E45" s="1">
        <v>13</v>
      </c>
      <c r="F45" s="96"/>
    </row>
    <row r="46" spans="3:6">
      <c r="C46" s="120" t="s">
        <v>835</v>
      </c>
      <c r="D46" s="121" t="s">
        <v>837</v>
      </c>
      <c r="E46" s="1">
        <v>7</v>
      </c>
      <c r="F46" s="96"/>
    </row>
    <row r="47" spans="3:6">
      <c r="C47" s="16" t="s">
        <v>354</v>
      </c>
      <c r="D47" s="16" t="s">
        <v>371</v>
      </c>
      <c r="E47" s="16" t="s">
        <v>391</v>
      </c>
    </row>
    <row r="48" spans="3:6">
      <c r="C48" s="122" t="s">
        <v>372</v>
      </c>
      <c r="D48" s="123">
        <v>1</v>
      </c>
      <c r="E48" s="7" t="s">
        <v>392</v>
      </c>
    </row>
    <row r="49" spans="3:5">
      <c r="C49" s="33" t="s">
        <v>373</v>
      </c>
      <c r="D49" s="109">
        <v>2</v>
      </c>
      <c r="E49" s="7" t="s">
        <v>393</v>
      </c>
    </row>
    <row r="50" spans="3:5">
      <c r="C50" s="33" t="s">
        <v>374</v>
      </c>
      <c r="D50" s="109">
        <v>2</v>
      </c>
      <c r="E50" s="7" t="s">
        <v>394</v>
      </c>
    </row>
    <row r="51" spans="3:5">
      <c r="C51" s="33" t="s">
        <v>375</v>
      </c>
      <c r="D51" s="109">
        <v>1</v>
      </c>
      <c r="E51" s="7" t="s">
        <v>395</v>
      </c>
    </row>
    <row r="52" spans="3:5">
      <c r="C52" s="33" t="s">
        <v>376</v>
      </c>
      <c r="D52" s="109">
        <v>1</v>
      </c>
      <c r="E52" s="7"/>
    </row>
    <row r="53" spans="3:5">
      <c r="C53" s="67" t="s">
        <v>377</v>
      </c>
      <c r="D53" s="106">
        <v>6</v>
      </c>
      <c r="E53" s="7"/>
    </row>
    <row r="54" spans="3:5">
      <c r="C54" s="33" t="s">
        <v>386</v>
      </c>
      <c r="D54" s="109">
        <v>10</v>
      </c>
      <c r="E54" s="7"/>
    </row>
    <row r="55" spans="3:5">
      <c r="C55" s="33" t="s">
        <v>387</v>
      </c>
      <c r="D55" s="109">
        <v>13</v>
      </c>
      <c r="E55" s="7"/>
    </row>
    <row r="56" spans="3:5">
      <c r="C56" s="33" t="s">
        <v>388</v>
      </c>
      <c r="D56" s="109">
        <v>10</v>
      </c>
      <c r="E56" s="7"/>
    </row>
    <row r="57" spans="3:5">
      <c r="C57" s="103" t="s">
        <v>488</v>
      </c>
      <c r="D57" s="1">
        <v>2</v>
      </c>
      <c r="E57" s="7"/>
    </row>
    <row r="58" spans="3:5">
      <c r="C58" s="103" t="s">
        <v>486</v>
      </c>
      <c r="D58" s="1"/>
      <c r="E58" s="7"/>
    </row>
    <row r="59" spans="3:5">
      <c r="C59" s="2"/>
      <c r="D59" s="2"/>
      <c r="E59" s="7"/>
    </row>
    <row r="60" spans="3:5">
      <c r="C60" s="2"/>
      <c r="D60" s="2"/>
      <c r="E60" s="7"/>
    </row>
    <row r="61" spans="3:5">
      <c r="C61" s="2"/>
      <c r="D61" s="2"/>
      <c r="E61" s="7"/>
    </row>
    <row r="62" spans="3:5">
      <c r="C62" s="2"/>
      <c r="D62" s="2"/>
      <c r="E62" s="7"/>
    </row>
    <row r="63" spans="3:5">
      <c r="C63" s="2"/>
      <c r="D63" s="2"/>
      <c r="E63" s="7"/>
    </row>
    <row r="64" spans="3:5">
      <c r="C64" s="2" t="s">
        <v>422</v>
      </c>
      <c r="D64" s="1">
        <v>3</v>
      </c>
      <c r="E64" s="7"/>
    </row>
    <row r="65" spans="3:5">
      <c r="C65" s="2" t="s">
        <v>423</v>
      </c>
      <c r="D65" s="1">
        <v>20</v>
      </c>
      <c r="E65" s="7"/>
    </row>
    <row r="66" spans="3:5">
      <c r="C66" s="2" t="s">
        <v>424</v>
      </c>
      <c r="D66" s="1">
        <v>10</v>
      </c>
      <c r="E66" s="7"/>
    </row>
    <row r="67" spans="3:5">
      <c r="C67" s="103" t="s">
        <v>425</v>
      </c>
      <c r="D67" s="1">
        <v>3</v>
      </c>
      <c r="E67" s="7"/>
    </row>
    <row r="68" spans="3:5">
      <c r="C68" s="2" t="s">
        <v>426</v>
      </c>
      <c r="D68" s="1">
        <v>1</v>
      </c>
      <c r="E68" s="7"/>
    </row>
    <row r="69" spans="3:5">
      <c r="C69" s="2" t="s">
        <v>427</v>
      </c>
      <c r="D69" s="1">
        <v>6</v>
      </c>
      <c r="E69" s="7"/>
    </row>
    <row r="70" spans="3:5">
      <c r="C70" s="2" t="s">
        <v>428</v>
      </c>
      <c r="D70" s="1">
        <v>1</v>
      </c>
      <c r="E70" s="7"/>
    </row>
    <row r="71" spans="3:5">
      <c r="C71" s="2" t="s">
        <v>430</v>
      </c>
      <c r="D71" s="1">
        <v>1</v>
      </c>
      <c r="E71" s="7"/>
    </row>
    <row r="72" spans="3:5">
      <c r="C72" s="2" t="s">
        <v>429</v>
      </c>
      <c r="D72" s="1">
        <v>1</v>
      </c>
      <c r="E72" s="7"/>
    </row>
    <row r="73" spans="3:5">
      <c r="C73" s="2" t="s">
        <v>431</v>
      </c>
      <c r="D73" s="1">
        <v>1</v>
      </c>
      <c r="E73" s="7"/>
    </row>
    <row r="74" spans="3:5">
      <c r="C74" s="2" t="s">
        <v>432</v>
      </c>
      <c r="D74" s="1">
        <v>2</v>
      </c>
      <c r="E74" s="7"/>
    </row>
    <row r="75" spans="3:5">
      <c r="C75" s="2" t="s">
        <v>433</v>
      </c>
      <c r="D75" s="1">
        <v>1</v>
      </c>
      <c r="E75" s="7"/>
    </row>
    <row r="76" spans="3:5">
      <c r="C76" s="2" t="s">
        <v>434</v>
      </c>
      <c r="D76" s="1">
        <v>3</v>
      </c>
      <c r="E76" s="7"/>
    </row>
    <row r="77" spans="3:5">
      <c r="C77" s="33" t="s">
        <v>435</v>
      </c>
      <c r="D77" s="1">
        <v>3</v>
      </c>
      <c r="E77" s="7"/>
    </row>
    <row r="78" spans="3:5">
      <c r="C78" s="33" t="s">
        <v>436</v>
      </c>
      <c r="D78" s="1">
        <v>2</v>
      </c>
      <c r="E78" s="7"/>
    </row>
    <row r="79" spans="3:5">
      <c r="C79" s="33" t="s">
        <v>437</v>
      </c>
      <c r="D79" s="1">
        <v>3</v>
      </c>
      <c r="E79" s="7"/>
    </row>
    <row r="80" spans="3:5">
      <c r="C80" s="2" t="s">
        <v>438</v>
      </c>
      <c r="D80" s="2"/>
      <c r="E80" s="7"/>
    </row>
    <row r="81" spans="3:5">
      <c r="C81" s="2" t="s">
        <v>439</v>
      </c>
      <c r="D81" s="1">
        <v>1</v>
      </c>
      <c r="E81" s="7"/>
    </row>
    <row r="82" spans="3:5">
      <c r="C82" s="2" t="s">
        <v>440</v>
      </c>
      <c r="D82" s="1">
        <v>1</v>
      </c>
      <c r="E82" s="7"/>
    </row>
    <row r="83" spans="3:5">
      <c r="C83" s="2" t="s">
        <v>441</v>
      </c>
      <c r="D83" s="1">
        <v>2</v>
      </c>
      <c r="E83" s="7"/>
    </row>
    <row r="84" spans="3:5">
      <c r="C84" s="2" t="s">
        <v>442</v>
      </c>
      <c r="D84" s="1">
        <v>1</v>
      </c>
      <c r="E84" s="7"/>
    </row>
    <row r="85" spans="3:5">
      <c r="C85" s="2" t="s">
        <v>445</v>
      </c>
      <c r="D85" s="1">
        <v>2</v>
      </c>
      <c r="E85" s="7"/>
    </row>
    <row r="86" spans="3:5">
      <c r="C86" s="2" t="s">
        <v>443</v>
      </c>
      <c r="D86" s="1">
        <v>1</v>
      </c>
      <c r="E86" s="7"/>
    </row>
    <row r="87" spans="3:5">
      <c r="C87" s="2" t="s">
        <v>444</v>
      </c>
      <c r="D87" s="1">
        <v>3</v>
      </c>
      <c r="E87" s="7"/>
    </row>
    <row r="88" spans="3:5">
      <c r="C88" s="2" t="s">
        <v>446</v>
      </c>
      <c r="D88" s="1">
        <v>1</v>
      </c>
      <c r="E88" s="94" t="s">
        <v>448</v>
      </c>
    </row>
    <row r="89" spans="3:5">
      <c r="C89" s="2" t="s">
        <v>447</v>
      </c>
      <c r="D89" s="1">
        <v>1</v>
      </c>
      <c r="E89" s="7"/>
    </row>
    <row r="90" spans="3:5">
      <c r="C90" s="2" t="s">
        <v>450</v>
      </c>
      <c r="D90" s="1">
        <v>1</v>
      </c>
      <c r="E90" s="7"/>
    </row>
    <row r="91" spans="3:5">
      <c r="C91" s="2" t="s">
        <v>449</v>
      </c>
      <c r="D91" s="1">
        <v>2</v>
      </c>
      <c r="E91" s="7"/>
    </row>
    <row r="92" spans="3:5">
      <c r="C92" s="2"/>
      <c r="D92" s="1">
        <v>1</v>
      </c>
      <c r="E92" s="7"/>
    </row>
    <row r="93" spans="3:5">
      <c r="C93" s="2"/>
      <c r="D93" s="1">
        <v>1</v>
      </c>
      <c r="E93" s="7"/>
    </row>
    <row r="94" spans="3:5">
      <c r="C94" s="103" t="s">
        <v>454</v>
      </c>
      <c r="D94" s="1">
        <v>6</v>
      </c>
      <c r="E94" s="7"/>
    </row>
    <row r="95" spans="3:5">
      <c r="C95" s="3" t="s">
        <v>489</v>
      </c>
      <c r="D95" s="1">
        <v>5</v>
      </c>
      <c r="E95" s="7"/>
    </row>
    <row r="96" spans="3:5">
      <c r="C96" s="2" t="s">
        <v>490</v>
      </c>
      <c r="D96" s="2"/>
      <c r="E96" s="7"/>
    </row>
    <row r="97" spans="3:5">
      <c r="C97" s="2" t="s">
        <v>491</v>
      </c>
      <c r="D97" s="1">
        <v>2</v>
      </c>
      <c r="E97" s="7"/>
    </row>
    <row r="98" spans="3:5">
      <c r="C98" s="2" t="s">
        <v>492</v>
      </c>
      <c r="D98" s="2"/>
      <c r="E98" s="7"/>
    </row>
  </sheetData>
  <mergeCells count="4">
    <mergeCell ref="C6:G6"/>
    <mergeCell ref="C16:G16"/>
    <mergeCell ref="C1:G1"/>
    <mergeCell ref="C36:E36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064C-54C4-4A66-9AE1-0994F3467062}">
  <sheetPr>
    <tabColor rgb="FF7030A0"/>
  </sheetPr>
  <dimension ref="A2:BX2209"/>
  <sheetViews>
    <sheetView showGridLines="0" tabSelected="1" topLeftCell="A830" zoomScale="60" zoomScaleNormal="60" zoomScaleSheetLayoutView="70" zoomScalePageLayoutView="82" workbookViewId="0">
      <selection activeCell="A831" sqref="A831"/>
    </sheetView>
  </sheetViews>
  <sheetFormatPr baseColWidth="10" defaultRowHeight="15"/>
  <cols>
    <col min="1" max="1" width="30.7109375" style="5" customWidth="1"/>
    <col min="2" max="2" width="135.140625" style="2" bestFit="1" customWidth="1"/>
    <col min="3" max="3" width="116" customWidth="1"/>
    <col min="4" max="4" width="26.140625" style="7" customWidth="1"/>
    <col min="5" max="5" width="25.42578125" style="98" customWidth="1"/>
    <col min="6" max="6" width="106.28515625" style="93" customWidth="1"/>
    <col min="7" max="7" width="255.7109375" bestFit="1" customWidth="1"/>
    <col min="8" max="8" width="22.28515625" bestFit="1" customWidth="1"/>
    <col min="9" max="9" width="28.140625" customWidth="1"/>
  </cols>
  <sheetData>
    <row r="2" spans="1:7" ht="11.25" customHeight="1">
      <c r="B2" s="323" t="s">
        <v>1255</v>
      </c>
      <c r="C2" s="323"/>
      <c r="D2" s="323"/>
      <c r="E2" s="323"/>
      <c r="F2" s="323"/>
    </row>
    <row r="3" spans="1:7" ht="6.75" customHeight="1">
      <c r="B3" s="323"/>
      <c r="C3" s="323"/>
      <c r="D3" s="323"/>
      <c r="E3" s="323"/>
      <c r="F3" s="323"/>
    </row>
    <row r="4" spans="1:7" ht="11.25" customHeight="1">
      <c r="B4" s="323"/>
      <c r="C4" s="323"/>
      <c r="D4" s="323"/>
      <c r="E4" s="323"/>
      <c r="F4" s="323"/>
    </row>
    <row r="5" spans="1:7" ht="23.25">
      <c r="B5" s="130"/>
      <c r="C5" s="131"/>
      <c r="D5" s="132"/>
      <c r="E5" s="133"/>
      <c r="F5" s="134"/>
    </row>
    <row r="6" spans="1:7" ht="23.25">
      <c r="B6" s="135" t="s">
        <v>1640</v>
      </c>
      <c r="C6" s="324"/>
      <c r="D6" s="324"/>
      <c r="E6" s="136" t="s">
        <v>1264</v>
      </c>
      <c r="F6" s="137" t="s">
        <v>1256</v>
      </c>
      <c r="G6" t="s">
        <v>1409</v>
      </c>
    </row>
    <row r="7" spans="1:7" ht="23.25">
      <c r="B7" s="320" t="s">
        <v>1641</v>
      </c>
      <c r="C7" s="321"/>
      <c r="D7" s="321"/>
      <c r="E7" s="322"/>
      <c r="F7" s="137" t="s">
        <v>1257</v>
      </c>
      <c r="G7" t="s">
        <v>1410</v>
      </c>
    </row>
    <row r="8" spans="1:7" ht="23.25">
      <c r="B8" s="141" t="s">
        <v>0</v>
      </c>
      <c r="C8" s="142" t="s">
        <v>1</v>
      </c>
      <c r="D8" s="141" t="s">
        <v>2</v>
      </c>
      <c r="E8" s="143" t="s">
        <v>3</v>
      </c>
      <c r="F8" s="141" t="s">
        <v>4</v>
      </c>
    </row>
    <row r="9" spans="1:7" ht="23.25">
      <c r="B9" s="163" t="s">
        <v>1860</v>
      </c>
      <c r="C9" s="144"/>
      <c r="D9" s="165">
        <v>1</v>
      </c>
      <c r="E9" s="145"/>
      <c r="F9" s="142"/>
    </row>
    <row r="10" spans="1:7" ht="23.25">
      <c r="B10" s="163" t="s">
        <v>1861</v>
      </c>
      <c r="C10" s="144"/>
      <c r="D10" s="165">
        <v>3</v>
      </c>
      <c r="E10" s="145"/>
      <c r="F10" s="142"/>
    </row>
    <row r="11" spans="1:7" ht="23.25">
      <c r="A11" s="263">
        <v>46057</v>
      </c>
      <c r="B11" s="146" t="s">
        <v>1619</v>
      </c>
      <c r="C11" s="138" t="s">
        <v>1286</v>
      </c>
      <c r="D11" s="139">
        <v>2</v>
      </c>
      <c r="E11" s="231">
        <v>200000</v>
      </c>
      <c r="F11" s="145"/>
      <c r="G11" t="s">
        <v>1629</v>
      </c>
    </row>
    <row r="12" spans="1:7" ht="23.25">
      <c r="B12" s="297" t="s">
        <v>1232</v>
      </c>
      <c r="C12" s="298"/>
      <c r="D12" s="298"/>
      <c r="E12" s="299"/>
      <c r="F12" s="147"/>
    </row>
    <row r="13" spans="1:7" ht="23.25">
      <c r="B13" s="150" t="s">
        <v>847</v>
      </c>
      <c r="C13" s="151" t="s">
        <v>1363</v>
      </c>
      <c r="D13" s="152">
        <v>1</v>
      </c>
      <c r="E13" s="153">
        <v>8000</v>
      </c>
      <c r="F13" s="167"/>
    </row>
    <row r="14" spans="1:7" ht="23.25">
      <c r="B14" s="150" t="s">
        <v>848</v>
      </c>
      <c r="C14" s="151" t="s">
        <v>1363</v>
      </c>
      <c r="D14" s="152">
        <v>1</v>
      </c>
      <c r="E14" s="153">
        <v>8000</v>
      </c>
      <c r="F14" s="167"/>
    </row>
    <row r="15" spans="1:7" ht="23.25">
      <c r="B15" s="146" t="s">
        <v>1620</v>
      </c>
      <c r="C15" s="138" t="s">
        <v>789</v>
      </c>
      <c r="D15" s="139">
        <v>10</v>
      </c>
      <c r="E15" s="157">
        <v>2000</v>
      </c>
      <c r="F15" s="157">
        <v>10000</v>
      </c>
      <c r="G15" t="s">
        <v>918</v>
      </c>
    </row>
    <row r="16" spans="1:7" ht="23.25">
      <c r="B16" s="146" t="s">
        <v>1621</v>
      </c>
      <c r="C16" s="138" t="s">
        <v>790</v>
      </c>
      <c r="D16" s="139">
        <v>10</v>
      </c>
      <c r="E16" s="157">
        <v>2000</v>
      </c>
      <c r="F16" s="157">
        <v>10000</v>
      </c>
      <c r="G16" t="s">
        <v>918</v>
      </c>
    </row>
    <row r="17" spans="2:7" ht="23.25">
      <c r="B17" s="150" t="s">
        <v>27</v>
      </c>
      <c r="C17" s="151" t="s">
        <v>1287</v>
      </c>
      <c r="D17" s="152">
        <v>3</v>
      </c>
      <c r="E17" s="153">
        <v>5000</v>
      </c>
      <c r="F17" s="153">
        <v>20000</v>
      </c>
      <c r="G17" t="s">
        <v>1606</v>
      </c>
    </row>
    <row r="18" spans="2:7" ht="23.25">
      <c r="B18" s="150" t="s">
        <v>691</v>
      </c>
      <c r="C18" s="151" t="s">
        <v>1622</v>
      </c>
      <c r="D18" s="152">
        <v>12</v>
      </c>
      <c r="E18" s="153">
        <v>15000</v>
      </c>
      <c r="F18" s="160">
        <v>20000</v>
      </c>
      <c r="G18" t="s">
        <v>1606</v>
      </c>
    </row>
    <row r="19" spans="2:7" ht="23.25">
      <c r="B19" s="150" t="s">
        <v>846</v>
      </c>
      <c r="C19" s="151" t="s">
        <v>965</v>
      </c>
      <c r="D19" s="152">
        <v>12</v>
      </c>
      <c r="E19" s="153">
        <v>1000</v>
      </c>
      <c r="F19" s="153">
        <v>14000</v>
      </c>
      <c r="G19" t="s">
        <v>1606</v>
      </c>
    </row>
    <row r="20" spans="2:7" ht="23.25">
      <c r="B20" s="150" t="s">
        <v>1624</v>
      </c>
      <c r="C20" s="151" t="s">
        <v>1623</v>
      </c>
      <c r="D20" s="152">
        <v>24</v>
      </c>
      <c r="E20" s="153">
        <v>2000</v>
      </c>
      <c r="F20" s="154">
        <v>10000</v>
      </c>
      <c r="G20" t="s">
        <v>1606</v>
      </c>
    </row>
    <row r="21" spans="2:7" ht="23.25">
      <c r="B21" s="150" t="s">
        <v>1625</v>
      </c>
      <c r="C21" s="151" t="s">
        <v>1626</v>
      </c>
      <c r="D21" s="152">
        <v>8</v>
      </c>
      <c r="E21" s="153">
        <v>2000</v>
      </c>
      <c r="F21" s="154">
        <v>10000</v>
      </c>
      <c r="G21" t="s">
        <v>1606</v>
      </c>
    </row>
    <row r="22" spans="2:7" ht="23.25">
      <c r="B22" s="150" t="s">
        <v>1630</v>
      </c>
      <c r="C22" s="151" t="s">
        <v>966</v>
      </c>
      <c r="D22" s="152">
        <v>28</v>
      </c>
      <c r="E22" s="153">
        <v>1000</v>
      </c>
      <c r="F22" s="154">
        <v>7000</v>
      </c>
      <c r="G22" t="s">
        <v>1606</v>
      </c>
    </row>
    <row r="23" spans="2:7" ht="23.25">
      <c r="B23" s="150" t="s">
        <v>1631</v>
      </c>
      <c r="C23" s="151" t="s">
        <v>1288</v>
      </c>
      <c r="D23" s="152">
        <v>14</v>
      </c>
      <c r="E23" s="153">
        <v>2000</v>
      </c>
      <c r="F23" s="154">
        <v>10000</v>
      </c>
      <c r="G23" t="s">
        <v>1606</v>
      </c>
    </row>
    <row r="24" spans="2:7" ht="23.25">
      <c r="B24" s="150" t="s">
        <v>1632</v>
      </c>
      <c r="C24" s="138" t="s">
        <v>1633</v>
      </c>
      <c r="D24" s="152">
        <v>5</v>
      </c>
      <c r="E24" s="153">
        <v>3000</v>
      </c>
      <c r="F24" s="154">
        <v>10000</v>
      </c>
      <c r="G24" t="s">
        <v>1606</v>
      </c>
    </row>
    <row r="25" spans="2:7" ht="23.25">
      <c r="B25" s="150" t="s">
        <v>1634</v>
      </c>
      <c r="C25" s="138" t="s">
        <v>1636</v>
      </c>
      <c r="D25" s="152">
        <v>4</v>
      </c>
      <c r="E25" s="153">
        <v>3000</v>
      </c>
      <c r="F25" s="154">
        <v>10000</v>
      </c>
    </row>
    <row r="26" spans="2:7" ht="23.25">
      <c r="B26" s="150" t="s">
        <v>1635</v>
      </c>
      <c r="C26" s="138" t="s">
        <v>1636</v>
      </c>
      <c r="D26" s="152">
        <v>4</v>
      </c>
      <c r="E26" s="153">
        <v>3000</v>
      </c>
      <c r="F26" s="154">
        <v>10000</v>
      </c>
    </row>
    <row r="27" spans="2:7" ht="23.25">
      <c r="B27" s="150" t="s">
        <v>735</v>
      </c>
      <c r="C27" s="138" t="s">
        <v>1289</v>
      </c>
      <c r="D27" s="139">
        <v>10</v>
      </c>
      <c r="E27" s="157">
        <v>3000</v>
      </c>
      <c r="F27" s="170">
        <v>10000</v>
      </c>
      <c r="G27" t="s">
        <v>1606</v>
      </c>
    </row>
    <row r="28" spans="2:7" ht="23.25">
      <c r="B28" s="150" t="s">
        <v>736</v>
      </c>
      <c r="C28" s="138" t="s">
        <v>1289</v>
      </c>
      <c r="D28" s="139">
        <v>13</v>
      </c>
      <c r="E28" s="157">
        <v>3000</v>
      </c>
      <c r="F28" s="170">
        <v>10000</v>
      </c>
      <c r="G28" s="5" t="s">
        <v>1606</v>
      </c>
    </row>
    <row r="29" spans="2:7" ht="23.25">
      <c r="B29" s="146" t="s">
        <v>737</v>
      </c>
      <c r="C29" s="138" t="s">
        <v>1289</v>
      </c>
      <c r="D29" s="139">
        <v>10</v>
      </c>
      <c r="E29" s="157">
        <v>3000</v>
      </c>
      <c r="F29" s="170">
        <v>10000</v>
      </c>
      <c r="G29" s="5" t="s">
        <v>1606</v>
      </c>
    </row>
    <row r="30" spans="2:7" ht="23.25">
      <c r="B30" s="150" t="s">
        <v>193</v>
      </c>
      <c r="C30" s="151" t="s">
        <v>1290</v>
      </c>
      <c r="D30" s="152">
        <v>4</v>
      </c>
      <c r="E30" s="153">
        <v>20000</v>
      </c>
      <c r="F30" s="161">
        <v>50000</v>
      </c>
      <c r="G30" s="5"/>
    </row>
    <row r="31" spans="2:7" ht="23.25">
      <c r="B31" s="150" t="s">
        <v>1627</v>
      </c>
      <c r="C31" s="151" t="s">
        <v>568</v>
      </c>
      <c r="D31" s="152">
        <v>2</v>
      </c>
      <c r="E31" s="153">
        <v>30000</v>
      </c>
      <c r="F31" s="161">
        <v>150000</v>
      </c>
      <c r="G31" s="5"/>
    </row>
    <row r="32" spans="2:7" ht="23.25">
      <c r="B32" s="150" t="s">
        <v>281</v>
      </c>
      <c r="C32" s="151" t="s">
        <v>963</v>
      </c>
      <c r="D32" s="152">
        <v>1</v>
      </c>
      <c r="E32" s="153">
        <v>30000</v>
      </c>
      <c r="F32" s="161">
        <v>200000</v>
      </c>
      <c r="G32" s="5"/>
    </row>
    <row r="33" spans="2:7" ht="23.25">
      <c r="B33" s="150" t="s">
        <v>1628</v>
      </c>
      <c r="C33" s="151" t="s">
        <v>570</v>
      </c>
      <c r="D33" s="152">
        <v>1</v>
      </c>
      <c r="E33" s="153">
        <v>30000</v>
      </c>
      <c r="F33" s="161">
        <v>200000</v>
      </c>
      <c r="G33" s="5"/>
    </row>
    <row r="34" spans="2:7" ht="23.25">
      <c r="B34" s="150" t="s">
        <v>569</v>
      </c>
      <c r="C34" s="151" t="s">
        <v>964</v>
      </c>
      <c r="D34" s="152">
        <v>1</v>
      </c>
      <c r="E34" s="153">
        <v>30000</v>
      </c>
      <c r="F34" s="161">
        <v>200000</v>
      </c>
      <c r="G34" s="5"/>
    </row>
    <row r="35" spans="2:7" ht="23.25">
      <c r="B35" s="150" t="s">
        <v>28</v>
      </c>
      <c r="C35" s="151" t="s">
        <v>567</v>
      </c>
      <c r="D35" s="152">
        <v>6</v>
      </c>
      <c r="E35" s="153">
        <v>20000</v>
      </c>
      <c r="F35" s="154"/>
      <c r="G35" s="5"/>
    </row>
    <row r="36" spans="2:7" ht="23.25">
      <c r="B36" s="150" t="s">
        <v>188</v>
      </c>
      <c r="C36" s="151" t="s">
        <v>1292</v>
      </c>
      <c r="D36" s="152">
        <v>1</v>
      </c>
      <c r="E36" s="153">
        <v>15000</v>
      </c>
      <c r="F36" s="161">
        <v>30000</v>
      </c>
      <c r="G36" s="5"/>
    </row>
    <row r="37" spans="2:7" ht="23.25">
      <c r="B37" s="150" t="s">
        <v>187</v>
      </c>
      <c r="C37" s="151" t="s">
        <v>1291</v>
      </c>
      <c r="D37" s="152">
        <v>2</v>
      </c>
      <c r="E37" s="153">
        <v>20000</v>
      </c>
      <c r="F37" s="161">
        <v>40000</v>
      </c>
      <c r="G37" s="5"/>
    </row>
    <row r="38" spans="2:7" ht="23.25">
      <c r="B38" s="150" t="s">
        <v>185</v>
      </c>
      <c r="C38" s="151" t="s">
        <v>571</v>
      </c>
      <c r="D38" s="152">
        <v>2</v>
      </c>
      <c r="E38" s="153">
        <v>25000</v>
      </c>
      <c r="F38" s="154"/>
      <c r="G38" s="5"/>
    </row>
    <row r="39" spans="2:7" ht="23.25">
      <c r="B39" s="150" t="s">
        <v>186</v>
      </c>
      <c r="C39" s="151" t="s">
        <v>571</v>
      </c>
      <c r="D39" s="152">
        <v>1</v>
      </c>
      <c r="E39" s="153">
        <v>25000</v>
      </c>
      <c r="F39" s="154"/>
      <c r="G39" s="5"/>
    </row>
    <row r="40" spans="2:7" ht="23.25">
      <c r="B40" s="150" t="s">
        <v>1639</v>
      </c>
      <c r="C40" s="151" t="s">
        <v>573</v>
      </c>
      <c r="D40" s="152">
        <v>2</v>
      </c>
      <c r="E40" s="153">
        <v>50000</v>
      </c>
      <c r="F40" s="154"/>
      <c r="G40" s="5"/>
    </row>
    <row r="41" spans="2:7" ht="23.25">
      <c r="B41" s="150" t="s">
        <v>189</v>
      </c>
      <c r="C41" s="151" t="s">
        <v>572</v>
      </c>
      <c r="D41" s="152">
        <v>4</v>
      </c>
      <c r="E41" s="153">
        <v>3000</v>
      </c>
      <c r="F41" s="154"/>
      <c r="G41" s="5"/>
    </row>
    <row r="42" spans="2:7" ht="23.25">
      <c r="B42" s="150" t="s">
        <v>190</v>
      </c>
      <c r="C42" s="151" t="s">
        <v>573</v>
      </c>
      <c r="D42" s="152">
        <v>3</v>
      </c>
      <c r="E42" s="153">
        <v>30000</v>
      </c>
      <c r="F42" s="154"/>
      <c r="G42" s="5"/>
    </row>
    <row r="43" spans="2:7" ht="23.25">
      <c r="B43" s="150" t="s">
        <v>1637</v>
      </c>
      <c r="C43" s="151" t="s">
        <v>1293</v>
      </c>
      <c r="D43" s="152">
        <v>2</v>
      </c>
      <c r="E43" s="153">
        <v>10000</v>
      </c>
      <c r="F43" s="154"/>
      <c r="G43" s="5"/>
    </row>
    <row r="44" spans="2:7" ht="23.25">
      <c r="B44" s="150" t="s">
        <v>191</v>
      </c>
      <c r="C44" s="151" t="s">
        <v>1294</v>
      </c>
      <c r="D44" s="152">
        <v>2</v>
      </c>
      <c r="E44" s="153">
        <v>20000</v>
      </c>
      <c r="F44" s="154"/>
      <c r="G44" s="5"/>
    </row>
    <row r="45" spans="2:7" ht="23.25">
      <c r="B45" s="150" t="s">
        <v>192</v>
      </c>
      <c r="C45" s="151" t="s">
        <v>1295</v>
      </c>
      <c r="D45" s="152">
        <v>4</v>
      </c>
      <c r="E45" s="153">
        <v>15000</v>
      </c>
      <c r="F45" s="154"/>
      <c r="G45" s="5"/>
    </row>
    <row r="46" spans="2:7">
      <c r="G46" s="5"/>
    </row>
    <row r="47" spans="2:7">
      <c r="G47" s="5"/>
    </row>
    <row r="48" spans="2:7" ht="23.25">
      <c r="B48" s="297" t="s">
        <v>1231</v>
      </c>
      <c r="C48" s="298"/>
      <c r="D48" s="298"/>
      <c r="E48" s="299"/>
      <c r="F48" s="159"/>
      <c r="G48" s="5"/>
    </row>
    <row r="49" spans="1:7" ht="23.25">
      <c r="B49" s="150" t="s">
        <v>1642</v>
      </c>
      <c r="C49" s="151" t="s">
        <v>1154</v>
      </c>
      <c r="D49" s="152">
        <v>1</v>
      </c>
      <c r="E49" s="153">
        <v>15000</v>
      </c>
      <c r="F49" s="154"/>
      <c r="G49" s="5" t="s">
        <v>1606</v>
      </c>
    </row>
    <row r="50" spans="1:7" ht="23.25">
      <c r="B50" s="150" t="s">
        <v>575</v>
      </c>
      <c r="C50" s="151" t="s">
        <v>1155</v>
      </c>
      <c r="D50" s="152">
        <v>1</v>
      </c>
      <c r="E50" s="153">
        <v>15000</v>
      </c>
      <c r="F50" s="154"/>
      <c r="G50" s="5" t="s">
        <v>1606</v>
      </c>
    </row>
    <row r="51" spans="1:7" ht="23.25">
      <c r="B51" s="150" t="s">
        <v>967</v>
      </c>
      <c r="C51" s="151" t="s">
        <v>1156</v>
      </c>
      <c r="D51" s="152">
        <v>1</v>
      </c>
      <c r="E51" s="153">
        <v>20000</v>
      </c>
      <c r="F51" s="154"/>
      <c r="G51" s="5" t="s">
        <v>1606</v>
      </c>
    </row>
    <row r="52" spans="1:7" ht="23.25">
      <c r="B52" s="150" t="s">
        <v>61</v>
      </c>
      <c r="C52" s="151" t="s">
        <v>1158</v>
      </c>
      <c r="D52" s="152">
        <v>1</v>
      </c>
      <c r="E52" s="153">
        <v>5000</v>
      </c>
      <c r="F52" s="154"/>
      <c r="G52" s="5" t="s">
        <v>1003</v>
      </c>
    </row>
    <row r="53" spans="1:7" ht="23.25">
      <c r="B53" s="150" t="s">
        <v>60</v>
      </c>
      <c r="C53" s="151" t="s">
        <v>1159</v>
      </c>
      <c r="D53" s="152">
        <v>1</v>
      </c>
      <c r="E53" s="153">
        <v>5000</v>
      </c>
      <c r="F53" s="154"/>
      <c r="G53" s="5" t="s">
        <v>1606</v>
      </c>
    </row>
    <row r="54" spans="1:7" ht="23.25">
      <c r="B54" s="150" t="s">
        <v>974</v>
      </c>
      <c r="C54" s="138" t="s">
        <v>1296</v>
      </c>
      <c r="D54" s="139">
        <v>2</v>
      </c>
      <c r="E54" s="153">
        <v>10000</v>
      </c>
      <c r="F54" s="154"/>
      <c r="G54" s="5" t="s">
        <v>1606</v>
      </c>
    </row>
    <row r="55" spans="1:7" ht="23.25">
      <c r="A55" s="41" t="s">
        <v>1643</v>
      </c>
      <c r="B55" s="150" t="s">
        <v>574</v>
      </c>
      <c r="C55" s="151" t="s">
        <v>1297</v>
      </c>
      <c r="D55" s="152">
        <v>1</v>
      </c>
      <c r="E55" s="153">
        <v>5000</v>
      </c>
      <c r="F55" s="154"/>
      <c r="G55" s="5" t="s">
        <v>1643</v>
      </c>
    </row>
    <row r="56" spans="1:7" ht="23.25">
      <c r="B56" s="150" t="s">
        <v>385</v>
      </c>
      <c r="C56" s="151" t="s">
        <v>1298</v>
      </c>
      <c r="D56" s="152">
        <v>1</v>
      </c>
      <c r="E56" s="153">
        <v>5000</v>
      </c>
      <c r="F56" s="154"/>
      <c r="G56" s="5" t="s">
        <v>1606</v>
      </c>
    </row>
    <row r="57" spans="1:7" ht="23.25">
      <c r="B57" s="150" t="s">
        <v>59</v>
      </c>
      <c r="C57" s="151" t="s">
        <v>1299</v>
      </c>
      <c r="D57" s="152">
        <v>1</v>
      </c>
      <c r="E57" s="153">
        <v>3000</v>
      </c>
      <c r="F57" s="154"/>
      <c r="G57" s="5" t="s">
        <v>1606</v>
      </c>
    </row>
    <row r="58" spans="1:7" ht="23.25">
      <c r="B58" s="150" t="s">
        <v>62</v>
      </c>
      <c r="C58" s="151" t="s">
        <v>1160</v>
      </c>
      <c r="D58" s="152">
        <v>2</v>
      </c>
      <c r="E58" s="153">
        <v>3000</v>
      </c>
      <c r="F58" s="154"/>
      <c r="G58" s="5" t="s">
        <v>1606</v>
      </c>
    </row>
    <row r="59" spans="1:7" ht="23.25">
      <c r="B59" s="150" t="s">
        <v>778</v>
      </c>
      <c r="C59" s="151" t="s">
        <v>779</v>
      </c>
      <c r="D59" s="152">
        <v>1</v>
      </c>
      <c r="E59" s="154" t="s">
        <v>975</v>
      </c>
      <c r="F59" s="154">
        <v>40000</v>
      </c>
      <c r="G59" s="5" t="s">
        <v>1606</v>
      </c>
    </row>
    <row r="60" spans="1:7" ht="23.25">
      <c r="B60" s="150" t="s">
        <v>780</v>
      </c>
      <c r="C60" s="151" t="s">
        <v>779</v>
      </c>
      <c r="D60" s="152">
        <v>1</v>
      </c>
      <c r="E60" s="154" t="s">
        <v>975</v>
      </c>
      <c r="F60" s="154">
        <v>30000</v>
      </c>
      <c r="G60" s="5" t="s">
        <v>1606</v>
      </c>
    </row>
    <row r="61" spans="1:7" ht="23.25">
      <c r="B61" s="150" t="s">
        <v>781</v>
      </c>
      <c r="C61" s="151" t="s">
        <v>1161</v>
      </c>
      <c r="D61" s="152">
        <v>2</v>
      </c>
      <c r="E61" s="153">
        <v>30000</v>
      </c>
      <c r="F61" s="154">
        <v>60000</v>
      </c>
      <c r="G61" s="5" t="s">
        <v>1606</v>
      </c>
    </row>
    <row r="62" spans="1:7" ht="23.25">
      <c r="B62" s="150" t="s">
        <v>782</v>
      </c>
      <c r="C62" s="151" t="s">
        <v>1157</v>
      </c>
      <c r="D62" s="152">
        <v>1</v>
      </c>
      <c r="E62" s="153">
        <v>20000</v>
      </c>
      <c r="F62" s="154">
        <v>60000</v>
      </c>
      <c r="G62" s="5" t="s">
        <v>1606</v>
      </c>
    </row>
    <row r="63" spans="1:7" ht="23.25">
      <c r="B63" s="150" t="s">
        <v>783</v>
      </c>
      <c r="C63" s="151" t="s">
        <v>1163</v>
      </c>
      <c r="D63" s="152">
        <v>1</v>
      </c>
      <c r="E63" s="153">
        <v>15000</v>
      </c>
      <c r="F63" s="154">
        <v>25000</v>
      </c>
      <c r="G63" s="5" t="s">
        <v>1606</v>
      </c>
    </row>
    <row r="64" spans="1:7" ht="23.25">
      <c r="B64" s="150" t="s">
        <v>784</v>
      </c>
      <c r="C64" s="151" t="s">
        <v>1162</v>
      </c>
      <c r="D64" s="152">
        <v>1</v>
      </c>
      <c r="E64" s="153">
        <v>20000</v>
      </c>
      <c r="F64" s="154">
        <v>40000</v>
      </c>
      <c r="G64" s="5" t="s">
        <v>1606</v>
      </c>
    </row>
    <row r="65" spans="1:7" ht="23.25">
      <c r="B65" s="150" t="s">
        <v>968</v>
      </c>
      <c r="C65" s="151" t="s">
        <v>785</v>
      </c>
      <c r="D65" s="152">
        <v>2</v>
      </c>
      <c r="E65" s="153">
        <v>25000</v>
      </c>
      <c r="F65" s="154">
        <v>30000</v>
      </c>
      <c r="G65" s="5" t="s">
        <v>1606</v>
      </c>
    </row>
    <row r="66" spans="1:7" ht="23.25">
      <c r="B66" s="150" t="s">
        <v>970</v>
      </c>
      <c r="C66" s="151" t="s">
        <v>971</v>
      </c>
      <c r="D66" s="152">
        <v>3</v>
      </c>
      <c r="E66" s="153">
        <v>30000</v>
      </c>
      <c r="F66" s="161">
        <v>50000</v>
      </c>
      <c r="G66" s="5" t="s">
        <v>1606</v>
      </c>
    </row>
    <row r="67" spans="1:7" ht="23.25">
      <c r="B67" s="150" t="s">
        <v>972</v>
      </c>
      <c r="C67" s="151" t="s">
        <v>973</v>
      </c>
      <c r="D67" s="152">
        <v>2</v>
      </c>
      <c r="E67" s="153">
        <v>30000</v>
      </c>
      <c r="F67" s="161">
        <v>50000</v>
      </c>
      <c r="G67" s="5" t="s">
        <v>1606</v>
      </c>
    </row>
    <row r="68" spans="1:7" ht="23.25">
      <c r="B68" s="150" t="s">
        <v>1644</v>
      </c>
      <c r="C68" s="151"/>
      <c r="D68" s="152">
        <v>1</v>
      </c>
      <c r="E68" s="153">
        <v>40000</v>
      </c>
      <c r="F68" s="161">
        <v>70000</v>
      </c>
      <c r="G68" s="5" t="s">
        <v>1606</v>
      </c>
    </row>
    <row r="69" spans="1:7" ht="23.25">
      <c r="A69" s="264" t="s">
        <v>1645</v>
      </c>
      <c r="B69" s="150" t="s">
        <v>969</v>
      </c>
      <c r="C69" s="151" t="s">
        <v>786</v>
      </c>
      <c r="D69" s="152">
        <v>3</v>
      </c>
      <c r="E69" s="160">
        <v>20000</v>
      </c>
      <c r="F69" s="161">
        <v>35000</v>
      </c>
      <c r="G69" s="5"/>
    </row>
    <row r="70" spans="1:7" ht="23.25">
      <c r="B70" s="150" t="s">
        <v>787</v>
      </c>
      <c r="C70" s="151" t="s">
        <v>1300</v>
      </c>
      <c r="D70" s="152">
        <v>6</v>
      </c>
      <c r="E70" s="154" t="s">
        <v>975</v>
      </c>
      <c r="F70" s="154">
        <v>60000</v>
      </c>
      <c r="G70" s="5"/>
    </row>
    <row r="71" spans="1:7" ht="23.25">
      <c r="B71" s="297" t="s">
        <v>1233</v>
      </c>
      <c r="C71" s="298"/>
      <c r="D71" s="298"/>
      <c r="E71" s="299"/>
      <c r="F71" s="159"/>
      <c r="G71" s="5"/>
    </row>
    <row r="72" spans="1:7" ht="23.25">
      <c r="F72" s="147"/>
      <c r="G72" s="5"/>
    </row>
    <row r="73" spans="1:7" ht="23.25">
      <c r="A73" s="5" t="s">
        <v>1606</v>
      </c>
      <c r="B73" s="150" t="s">
        <v>72</v>
      </c>
      <c r="C73" s="151" t="s">
        <v>1302</v>
      </c>
      <c r="D73" s="152">
        <v>1</v>
      </c>
      <c r="E73" s="153">
        <v>15000</v>
      </c>
      <c r="F73" s="154"/>
      <c r="G73" s="5"/>
    </row>
    <row r="74" spans="1:7" ht="23.25">
      <c r="A74" s="5" t="s">
        <v>1606</v>
      </c>
      <c r="B74" s="150" t="s">
        <v>73</v>
      </c>
      <c r="C74" s="151" t="s">
        <v>1303</v>
      </c>
      <c r="D74" s="152">
        <v>3</v>
      </c>
      <c r="E74" s="153">
        <v>10000</v>
      </c>
      <c r="F74" s="154"/>
      <c r="G74" s="5"/>
    </row>
    <row r="75" spans="1:7" ht="23.25">
      <c r="A75" s="5" t="s">
        <v>1606</v>
      </c>
      <c r="B75" s="150" t="s">
        <v>71</v>
      </c>
      <c r="C75" s="151" t="s">
        <v>1304</v>
      </c>
      <c r="D75" s="152">
        <v>1</v>
      </c>
      <c r="E75" s="153">
        <v>5000</v>
      </c>
      <c r="F75" s="154"/>
      <c r="G75" s="5"/>
    </row>
    <row r="76" spans="1:7" ht="23.25">
      <c r="A76" s="5" t="s">
        <v>1606</v>
      </c>
      <c r="B76" s="150" t="s">
        <v>75</v>
      </c>
      <c r="C76" s="151" t="s">
        <v>1305</v>
      </c>
      <c r="D76" s="152">
        <v>1</v>
      </c>
      <c r="E76" s="153">
        <v>2500</v>
      </c>
      <c r="F76" s="154"/>
      <c r="G76" s="5"/>
    </row>
    <row r="77" spans="1:7" ht="23.25">
      <c r="A77" s="5" t="s">
        <v>1606</v>
      </c>
      <c r="B77" s="150" t="s">
        <v>74</v>
      </c>
      <c r="C77" s="151" t="s">
        <v>1306</v>
      </c>
      <c r="D77" s="152">
        <v>1</v>
      </c>
      <c r="E77" s="153">
        <v>2500</v>
      </c>
      <c r="F77" s="154"/>
      <c r="G77" s="5"/>
    </row>
    <row r="78" spans="1:7" ht="23.25">
      <c r="A78" s="5" t="s">
        <v>1606</v>
      </c>
      <c r="B78" s="150" t="s">
        <v>76</v>
      </c>
      <c r="C78" s="151" t="s">
        <v>1307</v>
      </c>
      <c r="D78" s="152">
        <v>2</v>
      </c>
      <c r="E78" s="153">
        <v>2500</v>
      </c>
      <c r="F78" s="154"/>
      <c r="G78" s="5"/>
    </row>
    <row r="79" spans="1:7" ht="23.25">
      <c r="A79" s="63" t="s">
        <v>1646</v>
      </c>
      <c r="B79" s="150" t="s">
        <v>69</v>
      </c>
      <c r="C79" s="151" t="s">
        <v>1308</v>
      </c>
      <c r="D79" s="152">
        <v>1</v>
      </c>
      <c r="E79" s="153">
        <v>5000</v>
      </c>
      <c r="F79" s="154"/>
      <c r="G79" s="5"/>
    </row>
    <row r="80" spans="1:7" ht="23.25">
      <c r="A80" s="5" t="s">
        <v>1606</v>
      </c>
      <c r="B80" s="150" t="s">
        <v>70</v>
      </c>
      <c r="C80" s="151" t="s">
        <v>1309</v>
      </c>
      <c r="D80" s="152">
        <v>2</v>
      </c>
      <c r="E80" s="153">
        <v>5000</v>
      </c>
      <c r="F80" s="154"/>
      <c r="G80" s="5"/>
    </row>
    <row r="81" spans="1:7" ht="23.25">
      <c r="A81" s="5" t="s">
        <v>1606</v>
      </c>
      <c r="B81" s="150" t="s">
        <v>77</v>
      </c>
      <c r="C81" s="151" t="s">
        <v>1310</v>
      </c>
      <c r="D81" s="152">
        <v>1</v>
      </c>
      <c r="E81" s="153">
        <v>5000</v>
      </c>
      <c r="F81" s="154"/>
      <c r="G81" s="5"/>
    </row>
    <row r="82" spans="1:7" ht="23.25">
      <c r="A82" s="5" t="s">
        <v>1606</v>
      </c>
      <c r="B82" s="150" t="s">
        <v>78</v>
      </c>
      <c r="C82" s="151" t="s">
        <v>1311</v>
      </c>
      <c r="D82" s="152">
        <v>1</v>
      </c>
      <c r="E82" s="153">
        <v>5000</v>
      </c>
      <c r="F82" s="154"/>
      <c r="G82" s="5"/>
    </row>
    <row r="83" spans="1:7" ht="23.25">
      <c r="B83" s="297" t="s">
        <v>576</v>
      </c>
      <c r="C83" s="298"/>
      <c r="D83" s="298"/>
      <c r="E83" s="299"/>
      <c r="F83" s="159"/>
      <c r="G83" s="5"/>
    </row>
    <row r="84" spans="1:7" ht="23.25">
      <c r="A84" s="5" t="s">
        <v>1606</v>
      </c>
      <c r="B84" s="150" t="s">
        <v>707</v>
      </c>
      <c r="C84" s="151" t="s">
        <v>718</v>
      </c>
      <c r="D84" s="152">
        <v>1</v>
      </c>
      <c r="E84" s="162">
        <v>50000</v>
      </c>
      <c r="F84" s="137"/>
      <c r="G84" s="5"/>
    </row>
    <row r="85" spans="1:7" ht="23.25">
      <c r="A85" s="5" t="s">
        <v>1003</v>
      </c>
      <c r="B85" s="150" t="s">
        <v>708</v>
      </c>
      <c r="C85" s="151" t="s">
        <v>718</v>
      </c>
      <c r="D85" s="152">
        <v>1</v>
      </c>
      <c r="E85" s="162">
        <v>50000</v>
      </c>
      <c r="F85" s="137" t="s">
        <v>1003</v>
      </c>
      <c r="G85" s="5"/>
    </row>
    <row r="86" spans="1:7" ht="23.25">
      <c r="A86" s="5" t="s">
        <v>1606</v>
      </c>
      <c r="B86" s="150" t="s">
        <v>710</v>
      </c>
      <c r="C86" s="151" t="s">
        <v>718</v>
      </c>
      <c r="D86" s="152">
        <v>1</v>
      </c>
      <c r="E86" s="162">
        <v>50000</v>
      </c>
      <c r="F86" s="137"/>
      <c r="G86" s="5"/>
    </row>
    <row r="87" spans="1:7" ht="23.25">
      <c r="A87" s="5" t="s">
        <v>1003</v>
      </c>
      <c r="B87" s="150" t="s">
        <v>1647</v>
      </c>
      <c r="C87" s="151" t="s">
        <v>718</v>
      </c>
      <c r="D87" s="152">
        <v>1</v>
      </c>
      <c r="E87" s="162">
        <v>50000</v>
      </c>
      <c r="F87" s="137" t="s">
        <v>1004</v>
      </c>
      <c r="G87" s="5"/>
    </row>
    <row r="88" spans="1:7" ht="23.25">
      <c r="A88" s="5" t="s">
        <v>1606</v>
      </c>
      <c r="B88" s="150" t="s">
        <v>709</v>
      </c>
      <c r="C88" s="151" t="s">
        <v>718</v>
      </c>
      <c r="D88" s="152">
        <v>1</v>
      </c>
      <c r="E88" s="153">
        <v>50000</v>
      </c>
      <c r="F88" s="137"/>
      <c r="G88" s="5"/>
    </row>
    <row r="89" spans="1:7" ht="23.25">
      <c r="A89" s="63" t="s">
        <v>1004</v>
      </c>
      <c r="B89" s="150" t="s">
        <v>1651</v>
      </c>
      <c r="C89" s="151"/>
      <c r="D89" s="152">
        <v>1</v>
      </c>
      <c r="E89" s="153">
        <v>70000</v>
      </c>
      <c r="F89" s="137"/>
      <c r="G89" s="5"/>
    </row>
    <row r="90" spans="1:7" ht="23.25">
      <c r="A90" s="5" t="s">
        <v>1606</v>
      </c>
      <c r="B90" s="150" t="s">
        <v>1652</v>
      </c>
      <c r="C90" s="151"/>
      <c r="D90" s="152">
        <v>1</v>
      </c>
      <c r="E90" s="153">
        <v>50000</v>
      </c>
      <c r="F90" s="137"/>
      <c r="G90" s="5"/>
    </row>
    <row r="91" spans="1:7" ht="23.25">
      <c r="A91" s="5" t="s">
        <v>1606</v>
      </c>
      <c r="B91" s="150" t="s">
        <v>711</v>
      </c>
      <c r="C91" s="151" t="s">
        <v>718</v>
      </c>
      <c r="D91" s="152">
        <v>1</v>
      </c>
      <c r="E91" s="153">
        <v>50000</v>
      </c>
      <c r="F91" s="137"/>
      <c r="G91" s="5"/>
    </row>
    <row r="92" spans="1:7" ht="23.25">
      <c r="A92" s="5" t="s">
        <v>1606</v>
      </c>
      <c r="B92" s="150" t="s">
        <v>712</v>
      </c>
      <c r="C92" s="151" t="s">
        <v>718</v>
      </c>
      <c r="D92" s="152">
        <v>1</v>
      </c>
      <c r="E92" s="153">
        <v>50000</v>
      </c>
      <c r="F92" s="137"/>
      <c r="G92" s="5"/>
    </row>
    <row r="93" spans="1:7" ht="23.25">
      <c r="A93" s="5" t="s">
        <v>1606</v>
      </c>
      <c r="B93" s="150" t="s">
        <v>713</v>
      </c>
      <c r="C93" s="151" t="s">
        <v>718</v>
      </c>
      <c r="D93" s="152">
        <v>1</v>
      </c>
      <c r="E93" s="153">
        <v>50000</v>
      </c>
      <c r="F93" s="137"/>
      <c r="G93" s="5"/>
    </row>
    <row r="94" spans="1:7" ht="23.25">
      <c r="A94" s="63" t="s">
        <v>1648</v>
      </c>
      <c r="B94" s="150" t="s">
        <v>714</v>
      </c>
      <c r="C94" s="151" t="s">
        <v>718</v>
      </c>
      <c r="D94" s="152">
        <v>1</v>
      </c>
      <c r="E94" s="153">
        <v>50000</v>
      </c>
      <c r="F94" s="137" t="s">
        <v>1006</v>
      </c>
      <c r="G94" s="5"/>
    </row>
    <row r="95" spans="1:7" ht="23.25">
      <c r="A95" s="63" t="s">
        <v>1646</v>
      </c>
      <c r="B95" s="150" t="s">
        <v>715</v>
      </c>
      <c r="C95" s="151" t="s">
        <v>718</v>
      </c>
      <c r="D95" s="152">
        <v>1</v>
      </c>
      <c r="E95" s="153">
        <v>50000</v>
      </c>
      <c r="F95" s="137" t="s">
        <v>1005</v>
      </c>
      <c r="G95" s="5"/>
    </row>
    <row r="96" spans="1:7" ht="23.25">
      <c r="A96" s="5" t="s">
        <v>1606</v>
      </c>
      <c r="B96" s="150" t="s">
        <v>716</v>
      </c>
      <c r="C96" s="151" t="s">
        <v>718</v>
      </c>
      <c r="D96" s="152">
        <v>1</v>
      </c>
      <c r="E96" s="153">
        <v>50000</v>
      </c>
      <c r="F96" s="137"/>
      <c r="G96" s="5"/>
    </row>
    <row r="97" spans="1:7" ht="23.25">
      <c r="A97" s="5" t="s">
        <v>1606</v>
      </c>
      <c r="B97" s="150" t="s">
        <v>717</v>
      </c>
      <c r="C97" s="151" t="s">
        <v>718</v>
      </c>
      <c r="D97" s="152">
        <v>1</v>
      </c>
      <c r="E97" s="153">
        <v>50000</v>
      </c>
      <c r="F97" s="137"/>
      <c r="G97" s="5"/>
    </row>
    <row r="98" spans="1:7" ht="23.25">
      <c r="A98" s="5" t="s">
        <v>1125</v>
      </c>
      <c r="B98" s="150" t="s">
        <v>113</v>
      </c>
      <c r="C98" s="151" t="s">
        <v>126</v>
      </c>
      <c r="D98" s="152">
        <v>1</v>
      </c>
      <c r="E98" s="153">
        <v>70000</v>
      </c>
      <c r="F98" s="137"/>
      <c r="G98" s="5"/>
    </row>
    <row r="99" spans="1:7" ht="23.25">
      <c r="A99" s="5" t="s">
        <v>918</v>
      </c>
      <c r="B99" s="150" t="s">
        <v>112</v>
      </c>
      <c r="C99" s="151" t="s">
        <v>126</v>
      </c>
      <c r="D99" s="152">
        <v>1</v>
      </c>
      <c r="E99" s="153">
        <v>70000</v>
      </c>
      <c r="F99" s="137"/>
      <c r="G99" s="5"/>
    </row>
    <row r="100" spans="1:7" ht="23.25">
      <c r="A100" s="41" t="s">
        <v>1735</v>
      </c>
      <c r="B100" s="146" t="s">
        <v>1734</v>
      </c>
      <c r="C100" s="138" t="s">
        <v>1328</v>
      </c>
      <c r="D100" s="139">
        <v>12</v>
      </c>
      <c r="E100" s="157">
        <v>10000</v>
      </c>
      <c r="F100" s="154"/>
      <c r="G100" s="5"/>
    </row>
    <row r="101" spans="1:7" ht="23.25">
      <c r="A101" s="41" t="s">
        <v>1713</v>
      </c>
      <c r="B101" s="146" t="s">
        <v>1736</v>
      </c>
      <c r="C101" s="138" t="s">
        <v>1329</v>
      </c>
      <c r="D101" s="139">
        <v>1260</v>
      </c>
      <c r="E101" s="140"/>
      <c r="F101" s="154"/>
      <c r="G101" s="5"/>
    </row>
    <row r="102" spans="1:7" ht="23.25">
      <c r="A102" s="41" t="s">
        <v>1713</v>
      </c>
      <c r="B102" s="150" t="s">
        <v>1327</v>
      </c>
      <c r="C102" s="138" t="s">
        <v>456</v>
      </c>
      <c r="D102" s="139">
        <v>76</v>
      </c>
      <c r="E102" s="140"/>
      <c r="F102" s="154"/>
      <c r="G102" s="5"/>
    </row>
    <row r="103" spans="1:7" ht="23.25">
      <c r="A103" s="41" t="s">
        <v>1737</v>
      </c>
      <c r="B103" s="146" t="s">
        <v>1740</v>
      </c>
      <c r="C103" s="138" t="s">
        <v>1064</v>
      </c>
      <c r="D103" s="139">
        <v>3</v>
      </c>
      <c r="E103" s="140">
        <v>30000</v>
      </c>
      <c r="F103" s="154"/>
      <c r="G103" s="5"/>
    </row>
    <row r="104" spans="1:7" ht="23.25">
      <c r="A104" s="41" t="s">
        <v>1737</v>
      </c>
      <c r="B104" s="150" t="s">
        <v>1738</v>
      </c>
      <c r="C104" s="138" t="s">
        <v>1739</v>
      </c>
      <c r="D104" s="139">
        <v>2</v>
      </c>
      <c r="E104" s="140">
        <v>20000</v>
      </c>
      <c r="F104" s="154"/>
      <c r="G104" s="5"/>
    </row>
    <row r="105" spans="1:7" ht="23.25">
      <c r="A105" s="41" t="s">
        <v>1737</v>
      </c>
      <c r="B105" s="150" t="s">
        <v>1738</v>
      </c>
      <c r="C105" s="138" t="s">
        <v>128</v>
      </c>
      <c r="D105" s="139">
        <v>1</v>
      </c>
      <c r="E105" s="140"/>
      <c r="F105" s="154"/>
      <c r="G105" s="5"/>
    </row>
    <row r="106" spans="1:7" ht="23.25">
      <c r="A106" s="41" t="s">
        <v>1606</v>
      </c>
      <c r="B106" s="269" t="s">
        <v>1741</v>
      </c>
      <c r="C106" s="268" t="s">
        <v>1742</v>
      </c>
      <c r="D106" s="270">
        <v>3</v>
      </c>
      <c r="F106" s="154"/>
      <c r="G106" s="5"/>
    </row>
    <row r="107" spans="1:7" ht="23.25">
      <c r="A107" s="41" t="s">
        <v>1606</v>
      </c>
      <c r="B107" s="271" t="s">
        <v>1744</v>
      </c>
      <c r="C107" s="268" t="s">
        <v>1743</v>
      </c>
      <c r="D107" s="270">
        <v>4</v>
      </c>
      <c r="F107" s="154"/>
      <c r="G107" s="5"/>
    </row>
    <row r="108" spans="1:7" ht="23.25">
      <c r="A108" s="41" t="s">
        <v>1606</v>
      </c>
      <c r="B108" s="271" t="s">
        <v>1744</v>
      </c>
      <c r="C108" s="164" t="s">
        <v>1745</v>
      </c>
      <c r="D108" s="165">
        <v>1</v>
      </c>
      <c r="E108" s="267"/>
      <c r="F108" s="137"/>
      <c r="G108" s="5"/>
    </row>
    <row r="109" spans="1:7" ht="23.25">
      <c r="B109" s="297" t="s">
        <v>1487</v>
      </c>
      <c r="C109" s="298"/>
      <c r="D109" s="298"/>
      <c r="E109" s="299"/>
      <c r="F109" s="159"/>
      <c r="G109" s="5"/>
    </row>
    <row r="110" spans="1:7" ht="23.25">
      <c r="A110" s="5" t="s">
        <v>1606</v>
      </c>
      <c r="B110" s="150" t="s">
        <v>1649</v>
      </c>
      <c r="C110" s="151" t="s">
        <v>1312</v>
      </c>
      <c r="D110" s="152">
        <v>1</v>
      </c>
      <c r="E110" s="162">
        <v>10000</v>
      </c>
      <c r="F110" s="154"/>
      <c r="G110" s="5"/>
    </row>
    <row r="111" spans="1:7" ht="23.25">
      <c r="A111" s="5" t="s">
        <v>1606</v>
      </c>
      <c r="B111" s="150" t="s">
        <v>1650</v>
      </c>
      <c r="C111" s="151" t="s">
        <v>1312</v>
      </c>
      <c r="D111" s="152">
        <v>1</v>
      </c>
      <c r="E111" s="162">
        <v>10000</v>
      </c>
      <c r="F111" s="154"/>
      <c r="G111" s="5"/>
    </row>
    <row r="112" spans="1:7" ht="23.25">
      <c r="A112" s="5" t="s">
        <v>1606</v>
      </c>
      <c r="B112" s="150" t="s">
        <v>410</v>
      </c>
      <c r="C112" s="151" t="s">
        <v>1312</v>
      </c>
      <c r="D112" s="152">
        <v>1</v>
      </c>
      <c r="E112" s="162">
        <v>10000</v>
      </c>
      <c r="F112" s="154"/>
      <c r="G112" s="5"/>
    </row>
    <row r="113" spans="1:7" ht="23.25">
      <c r="A113" s="5" t="s">
        <v>1606</v>
      </c>
      <c r="B113" s="150" t="s">
        <v>411</v>
      </c>
      <c r="C113" s="151" t="s">
        <v>1312</v>
      </c>
      <c r="D113" s="152">
        <v>1</v>
      </c>
      <c r="E113" s="162">
        <v>10000</v>
      </c>
      <c r="F113" s="154"/>
      <c r="G113" s="5"/>
    </row>
    <row r="114" spans="1:7" ht="23.25">
      <c r="A114" s="5" t="s">
        <v>1606</v>
      </c>
      <c r="B114" s="150" t="s">
        <v>734</v>
      </c>
      <c r="C114" s="151" t="s">
        <v>1313</v>
      </c>
      <c r="D114" s="152">
        <v>6</v>
      </c>
      <c r="E114" s="162">
        <v>10000</v>
      </c>
      <c r="F114" s="154"/>
      <c r="G114" s="5"/>
    </row>
    <row r="115" spans="1:7" ht="23.25">
      <c r="B115" s="297" t="s">
        <v>1197</v>
      </c>
      <c r="C115" s="298"/>
      <c r="D115" s="298"/>
      <c r="E115" s="299"/>
      <c r="F115" s="147"/>
      <c r="G115" s="5"/>
    </row>
    <row r="116" spans="1:7" ht="23.25">
      <c r="A116" s="63" t="s">
        <v>1655</v>
      </c>
      <c r="B116" s="163" t="s">
        <v>1657</v>
      </c>
      <c r="C116" s="164" t="s">
        <v>1656</v>
      </c>
      <c r="D116" s="165">
        <v>3</v>
      </c>
      <c r="E116" s="232">
        <v>20000</v>
      </c>
      <c r="F116" s="147"/>
      <c r="G116" s="5"/>
    </row>
    <row r="117" spans="1:7" ht="23.25">
      <c r="A117" s="5" t="s">
        <v>1606</v>
      </c>
      <c r="B117" s="163" t="s">
        <v>1658</v>
      </c>
      <c r="C117" s="164" t="s">
        <v>1662</v>
      </c>
      <c r="D117" s="165">
        <v>3</v>
      </c>
      <c r="E117" s="232"/>
      <c r="F117" s="147"/>
      <c r="G117" s="5"/>
    </row>
    <row r="118" spans="1:7" ht="23.25">
      <c r="A118" s="5" t="s">
        <v>1606</v>
      </c>
      <c r="B118" s="163" t="s">
        <v>1659</v>
      </c>
      <c r="C118" s="164" t="s">
        <v>1663</v>
      </c>
      <c r="D118" s="165">
        <v>3</v>
      </c>
      <c r="E118" s="232"/>
      <c r="F118" s="147"/>
      <c r="G118" s="5"/>
    </row>
    <row r="119" spans="1:7" ht="23.25">
      <c r="A119" s="5" t="s">
        <v>1606</v>
      </c>
      <c r="B119" s="163" t="s">
        <v>1660</v>
      </c>
      <c r="C119" s="164" t="s">
        <v>1664</v>
      </c>
      <c r="D119" s="165">
        <v>3</v>
      </c>
      <c r="E119" s="232"/>
      <c r="F119" s="147"/>
      <c r="G119" s="5"/>
    </row>
    <row r="120" spans="1:7" ht="23.25">
      <c r="A120" s="5" t="s">
        <v>1606</v>
      </c>
      <c r="B120" s="163" t="s">
        <v>1661</v>
      </c>
      <c r="C120" s="164" t="s">
        <v>1665</v>
      </c>
      <c r="D120" s="165">
        <v>3</v>
      </c>
      <c r="E120" s="232"/>
      <c r="F120" s="147"/>
      <c r="G120" s="5"/>
    </row>
    <row r="121" spans="1:7" ht="23.25">
      <c r="A121" s="5" t="s">
        <v>1606</v>
      </c>
      <c r="B121" s="163" t="s">
        <v>1465</v>
      </c>
      <c r="C121" s="164" t="s">
        <v>1470</v>
      </c>
      <c r="D121" s="165">
        <v>3</v>
      </c>
      <c r="E121" s="232">
        <v>15000</v>
      </c>
      <c r="F121" s="147"/>
      <c r="G121" s="5"/>
    </row>
    <row r="122" spans="1:7" ht="23.25">
      <c r="A122" s="5" t="s">
        <v>1606</v>
      </c>
      <c r="B122" s="163" t="s">
        <v>1466</v>
      </c>
      <c r="C122" s="164" t="s">
        <v>1469</v>
      </c>
      <c r="D122" s="165">
        <v>3</v>
      </c>
      <c r="E122" s="232">
        <v>15000</v>
      </c>
      <c r="F122" s="147"/>
      <c r="G122" s="5"/>
    </row>
    <row r="123" spans="1:7" ht="23.25">
      <c r="A123" s="5" t="s">
        <v>1606</v>
      </c>
      <c r="B123" s="163" t="s">
        <v>1467</v>
      </c>
      <c r="C123" s="164" t="s">
        <v>1468</v>
      </c>
      <c r="D123" s="165">
        <v>3</v>
      </c>
      <c r="E123" s="232">
        <v>15000</v>
      </c>
      <c r="F123" s="147"/>
      <c r="G123" s="5"/>
    </row>
    <row r="124" spans="1:7" ht="23.25">
      <c r="A124" s="296" t="s">
        <v>1894</v>
      </c>
      <c r="B124" s="163" t="s">
        <v>1887</v>
      </c>
      <c r="C124" s="164" t="s">
        <v>1888</v>
      </c>
      <c r="D124" s="165">
        <v>1</v>
      </c>
      <c r="E124" s="232"/>
      <c r="F124" s="147"/>
      <c r="G124" s="5"/>
    </row>
    <row r="125" spans="1:7" ht="23.25">
      <c r="A125" s="296"/>
      <c r="B125" s="163" t="s">
        <v>1887</v>
      </c>
      <c r="C125" s="164" t="s">
        <v>1889</v>
      </c>
      <c r="D125" s="165">
        <v>1</v>
      </c>
      <c r="E125" s="232"/>
      <c r="F125" s="147"/>
      <c r="G125" s="5"/>
    </row>
    <row r="126" spans="1:7" ht="23.25">
      <c r="A126" s="296"/>
      <c r="B126" s="163" t="s">
        <v>1887</v>
      </c>
      <c r="C126" s="164" t="s">
        <v>1890</v>
      </c>
      <c r="D126" s="165">
        <v>2</v>
      </c>
      <c r="E126" s="232"/>
      <c r="F126" s="147"/>
      <c r="G126" s="5"/>
    </row>
    <row r="127" spans="1:7" ht="23.25">
      <c r="A127" s="296"/>
      <c r="B127" s="163" t="s">
        <v>1887</v>
      </c>
      <c r="C127" s="164" t="s">
        <v>1891</v>
      </c>
      <c r="D127" s="165">
        <v>2</v>
      </c>
      <c r="E127" s="232"/>
      <c r="F127" s="147"/>
      <c r="G127" s="5"/>
    </row>
    <row r="128" spans="1:7" ht="23.25">
      <c r="A128" s="296"/>
      <c r="B128" s="163" t="s">
        <v>1887</v>
      </c>
      <c r="C128" s="164" t="s">
        <v>1892</v>
      </c>
      <c r="D128" s="165">
        <v>1</v>
      </c>
      <c r="E128" s="232"/>
      <c r="F128" s="147"/>
      <c r="G128" s="5"/>
    </row>
    <row r="129" spans="1:7" ht="23.25">
      <c r="A129" s="296"/>
      <c r="B129" s="163" t="s">
        <v>1887</v>
      </c>
      <c r="C129" s="164" t="s">
        <v>1893</v>
      </c>
      <c r="D129" s="165">
        <v>3</v>
      </c>
      <c r="E129" s="232"/>
      <c r="F129" s="147"/>
      <c r="G129" s="5"/>
    </row>
    <row r="130" spans="1:7" ht="23.25">
      <c r="A130" s="296"/>
      <c r="B130" s="163" t="s">
        <v>1896</v>
      </c>
      <c r="C130" s="164" t="s">
        <v>1895</v>
      </c>
      <c r="D130" s="165">
        <v>16</v>
      </c>
      <c r="E130" s="232"/>
      <c r="F130" s="147"/>
      <c r="G130" s="5"/>
    </row>
    <row r="131" spans="1:7" ht="23.25">
      <c r="A131" s="276" t="s">
        <v>371</v>
      </c>
      <c r="B131" s="163" t="s">
        <v>1897</v>
      </c>
      <c r="C131" s="164" t="s">
        <v>1666</v>
      </c>
      <c r="D131" s="165" t="s">
        <v>1898</v>
      </c>
      <c r="E131" s="232"/>
      <c r="F131" s="147"/>
      <c r="G131" s="5"/>
    </row>
    <row r="132" spans="1:7" ht="23.25">
      <c r="A132" s="5" t="s">
        <v>1606</v>
      </c>
      <c r="B132" s="150" t="s">
        <v>1029</v>
      </c>
      <c r="C132" s="166" t="s">
        <v>472</v>
      </c>
      <c r="D132" s="152">
        <v>1</v>
      </c>
      <c r="E132" s="153">
        <v>20000</v>
      </c>
      <c r="F132" s="167"/>
      <c r="G132" s="5"/>
    </row>
    <row r="133" spans="1:7" ht="23.25">
      <c r="A133" s="5" t="s">
        <v>1606</v>
      </c>
      <c r="B133" s="150" t="s">
        <v>469</v>
      </c>
      <c r="C133" s="166" t="s">
        <v>466</v>
      </c>
      <c r="D133" s="152">
        <v>1</v>
      </c>
      <c r="E133" s="153">
        <v>12000</v>
      </c>
      <c r="F133" s="167"/>
      <c r="G133" s="5"/>
    </row>
    <row r="134" spans="1:7" ht="23.25">
      <c r="A134" s="5" t="s">
        <v>1606</v>
      </c>
      <c r="B134" s="150" t="s">
        <v>471</v>
      </c>
      <c r="C134" s="166" t="s">
        <v>467</v>
      </c>
      <c r="D134" s="152">
        <v>1</v>
      </c>
      <c r="E134" s="153">
        <v>12000</v>
      </c>
      <c r="F134" s="167"/>
      <c r="G134" s="5"/>
    </row>
    <row r="135" spans="1:7" ht="23.25">
      <c r="A135" s="5" t="s">
        <v>1606</v>
      </c>
      <c r="B135" s="150" t="s">
        <v>470</v>
      </c>
      <c r="C135" s="166" t="s">
        <v>466</v>
      </c>
      <c r="D135" s="152">
        <v>1</v>
      </c>
      <c r="E135" s="153">
        <v>12000</v>
      </c>
      <c r="F135" s="167"/>
      <c r="G135" s="5"/>
    </row>
    <row r="136" spans="1:7" ht="23.25">
      <c r="A136" s="5" t="s">
        <v>1606</v>
      </c>
      <c r="B136" s="150" t="s">
        <v>468</v>
      </c>
      <c r="C136" s="166" t="s">
        <v>466</v>
      </c>
      <c r="D136" s="152">
        <v>1</v>
      </c>
      <c r="E136" s="153">
        <v>12000</v>
      </c>
      <c r="F136" s="167"/>
      <c r="G136" s="5"/>
    </row>
    <row r="137" spans="1:7" ht="23.25">
      <c r="A137" s="5" t="s">
        <v>1606</v>
      </c>
      <c r="B137" s="150" t="s">
        <v>1667</v>
      </c>
      <c r="C137" s="166" t="s">
        <v>500</v>
      </c>
      <c r="D137" s="152">
        <v>1</v>
      </c>
      <c r="E137" s="153" t="s">
        <v>201</v>
      </c>
      <c r="F137" s="167"/>
      <c r="G137" s="5"/>
    </row>
    <row r="138" spans="1:7" ht="23.25">
      <c r="A138" s="41" t="s">
        <v>1646</v>
      </c>
      <c r="B138" s="150" t="s">
        <v>1668</v>
      </c>
      <c r="C138" s="166" t="s">
        <v>501</v>
      </c>
      <c r="D138" s="152">
        <v>1</v>
      </c>
      <c r="E138" s="153" t="s">
        <v>201</v>
      </c>
      <c r="F138" s="167"/>
      <c r="G138" s="5"/>
    </row>
    <row r="139" spans="1:7" ht="23.25">
      <c r="A139" s="5" t="s">
        <v>1606</v>
      </c>
      <c r="B139" s="150" t="s">
        <v>241</v>
      </c>
      <c r="C139" s="166" t="s">
        <v>498</v>
      </c>
      <c r="D139" s="152">
        <v>1</v>
      </c>
      <c r="E139" s="153" t="s">
        <v>202</v>
      </c>
      <c r="F139" s="167"/>
      <c r="G139" s="5"/>
    </row>
    <row r="140" spans="1:7" ht="23.25">
      <c r="A140" s="5" t="s">
        <v>1606</v>
      </c>
      <c r="B140" s="150" t="s">
        <v>499</v>
      </c>
      <c r="C140" s="166" t="s">
        <v>498</v>
      </c>
      <c r="D140" s="152">
        <v>1</v>
      </c>
      <c r="E140" s="153" t="s">
        <v>202</v>
      </c>
      <c r="F140" s="167"/>
      <c r="G140" s="5"/>
    </row>
    <row r="141" spans="1:7" ht="23.25">
      <c r="A141" s="5" t="s">
        <v>1606</v>
      </c>
      <c r="B141" s="150" t="s">
        <v>389</v>
      </c>
      <c r="C141" s="166" t="s">
        <v>481</v>
      </c>
      <c r="D141" s="152">
        <v>1</v>
      </c>
      <c r="E141" s="153" t="s">
        <v>202</v>
      </c>
      <c r="F141" s="167"/>
      <c r="G141" s="5"/>
    </row>
    <row r="142" spans="1:7" ht="23.25">
      <c r="A142" s="41" t="s">
        <v>1669</v>
      </c>
      <c r="B142" s="150" t="s">
        <v>136</v>
      </c>
      <c r="C142" s="166" t="s">
        <v>464</v>
      </c>
      <c r="D142" s="152">
        <v>1</v>
      </c>
      <c r="E142" s="153">
        <v>15000</v>
      </c>
      <c r="F142" s="167"/>
      <c r="G142" s="5"/>
    </row>
    <row r="143" spans="1:7" ht="23.25">
      <c r="A143" s="41" t="s">
        <v>1669</v>
      </c>
      <c r="B143" s="150" t="s">
        <v>137</v>
      </c>
      <c r="C143" s="166" t="s">
        <v>465</v>
      </c>
      <c r="D143" s="152">
        <v>1</v>
      </c>
      <c r="E143" s="153">
        <v>15000</v>
      </c>
      <c r="F143" s="167"/>
      <c r="G143" s="5"/>
    </row>
    <row r="144" spans="1:7" ht="23.25">
      <c r="A144" s="41" t="s">
        <v>1670</v>
      </c>
      <c r="B144" s="265" t="s">
        <v>138</v>
      </c>
      <c r="C144" s="166" t="s">
        <v>481</v>
      </c>
      <c r="D144" s="152">
        <v>1</v>
      </c>
      <c r="E144" s="153">
        <v>20000</v>
      </c>
      <c r="F144" s="154" t="s">
        <v>1030</v>
      </c>
      <c r="G144" s="5"/>
    </row>
    <row r="145" spans="1:7" ht="23.25">
      <c r="A145" s="5" t="s">
        <v>1606</v>
      </c>
      <c r="B145" s="265" t="s">
        <v>139</v>
      </c>
      <c r="C145" s="166" t="s">
        <v>482</v>
      </c>
      <c r="D145" s="152">
        <v>1</v>
      </c>
      <c r="E145" s="153">
        <v>20000</v>
      </c>
      <c r="F145" s="167"/>
      <c r="G145" s="5"/>
    </row>
    <row r="146" spans="1:7" ht="23.25">
      <c r="A146" s="65"/>
      <c r="B146" s="265" t="s">
        <v>149</v>
      </c>
      <c r="C146" s="151" t="s">
        <v>552</v>
      </c>
      <c r="D146" s="152">
        <v>1</v>
      </c>
      <c r="E146" s="153">
        <v>20000</v>
      </c>
      <c r="F146" s="154" t="s">
        <v>1030</v>
      </c>
      <c r="G146" s="5"/>
    </row>
    <row r="147" spans="1:7" ht="23.25">
      <c r="A147" s="41" t="s">
        <v>1031</v>
      </c>
      <c r="B147" s="265" t="s">
        <v>140</v>
      </c>
      <c r="C147" s="166" t="s">
        <v>483</v>
      </c>
      <c r="D147" s="152">
        <v>1</v>
      </c>
      <c r="E147" s="153">
        <v>20000</v>
      </c>
      <c r="F147" s="154" t="s">
        <v>1031</v>
      </c>
      <c r="G147" s="5"/>
    </row>
    <row r="148" spans="1:7" ht="23.25">
      <c r="A148" s="41" t="s">
        <v>1666</v>
      </c>
      <c r="B148" s="265" t="s">
        <v>485</v>
      </c>
      <c r="C148" s="156"/>
      <c r="D148" s="152">
        <v>1</v>
      </c>
      <c r="E148" s="153">
        <v>20000</v>
      </c>
      <c r="F148" s="154" t="s">
        <v>1031</v>
      </c>
      <c r="G148" s="5"/>
    </row>
    <row r="149" spans="1:7" ht="23.25">
      <c r="A149" s="41" t="s">
        <v>1669</v>
      </c>
      <c r="B149" s="150" t="s">
        <v>473</v>
      </c>
      <c r="C149" s="166" t="s">
        <v>475</v>
      </c>
      <c r="D149" s="152">
        <v>1</v>
      </c>
      <c r="E149" s="153">
        <v>20000</v>
      </c>
      <c r="F149" s="167"/>
      <c r="G149" s="5"/>
    </row>
    <row r="150" spans="1:7" ht="23.25">
      <c r="A150" s="41" t="s">
        <v>1031</v>
      </c>
      <c r="B150" s="150" t="s">
        <v>474</v>
      </c>
      <c r="C150" s="166" t="s">
        <v>463</v>
      </c>
      <c r="D150" s="152">
        <v>1</v>
      </c>
      <c r="E150" s="153">
        <v>20000</v>
      </c>
      <c r="F150" s="167"/>
      <c r="G150" s="5"/>
    </row>
    <row r="151" spans="1:7" ht="23.25">
      <c r="A151" s="41" t="s">
        <v>1671</v>
      </c>
      <c r="B151" s="150" t="s">
        <v>476</v>
      </c>
      <c r="C151" s="166" t="s">
        <v>480</v>
      </c>
      <c r="D151" s="152">
        <v>1</v>
      </c>
      <c r="E151" s="153">
        <v>15000</v>
      </c>
      <c r="F151" s="167"/>
      <c r="G151" s="5"/>
    </row>
    <row r="152" spans="1:7" ht="23.25">
      <c r="A152" s="5" t="s">
        <v>1606</v>
      </c>
      <c r="B152" s="169" t="s">
        <v>477</v>
      </c>
      <c r="C152" s="166" t="s">
        <v>480</v>
      </c>
      <c r="D152" s="152">
        <v>1</v>
      </c>
      <c r="E152" s="153">
        <v>15000</v>
      </c>
      <c r="F152" s="167"/>
      <c r="G152" s="5"/>
    </row>
    <row r="153" spans="1:7" ht="23.25">
      <c r="A153" s="41" t="s">
        <v>1031</v>
      </c>
      <c r="B153" s="150" t="s">
        <v>478</v>
      </c>
      <c r="C153" s="166" t="s">
        <v>480</v>
      </c>
      <c r="D153" s="152">
        <v>1</v>
      </c>
      <c r="E153" s="153">
        <v>15000</v>
      </c>
      <c r="F153" s="167"/>
      <c r="G153" s="5"/>
    </row>
    <row r="154" spans="1:7" ht="23.25">
      <c r="A154" s="41" t="s">
        <v>1031</v>
      </c>
      <c r="B154" s="150" t="s">
        <v>479</v>
      </c>
      <c r="C154" s="166" t="s">
        <v>480</v>
      </c>
      <c r="D154" s="152">
        <v>1</v>
      </c>
      <c r="E154" s="153">
        <v>15000</v>
      </c>
      <c r="F154" s="167"/>
      <c r="G154" s="5"/>
    </row>
    <row r="155" spans="1:7" ht="21" customHeight="1">
      <c r="A155" s="41" t="s">
        <v>1031</v>
      </c>
      <c r="B155" s="150" t="s">
        <v>148</v>
      </c>
      <c r="C155" s="166" t="s">
        <v>484</v>
      </c>
      <c r="D155" s="152">
        <v>1</v>
      </c>
      <c r="E155" s="153">
        <v>15000</v>
      </c>
      <c r="F155" s="167"/>
      <c r="G155" s="5"/>
    </row>
    <row r="156" spans="1:7" ht="23.25">
      <c r="A156" s="41" t="s">
        <v>1031</v>
      </c>
      <c r="B156" s="150" t="s">
        <v>143</v>
      </c>
      <c r="C156" s="166" t="s">
        <v>484</v>
      </c>
      <c r="D156" s="152">
        <v>1</v>
      </c>
      <c r="E156" s="153">
        <v>15000</v>
      </c>
      <c r="F156" s="167"/>
      <c r="G156" s="5"/>
    </row>
    <row r="157" spans="1:7" ht="23.25">
      <c r="A157" s="41" t="s">
        <v>1031</v>
      </c>
      <c r="B157" s="150" t="s">
        <v>141</v>
      </c>
      <c r="C157" s="166" t="s">
        <v>484</v>
      </c>
      <c r="D157" s="152">
        <v>1</v>
      </c>
      <c r="E157" s="153">
        <v>15000</v>
      </c>
      <c r="F157" s="167"/>
      <c r="G157" s="5"/>
    </row>
    <row r="158" spans="1:7" ht="23.25">
      <c r="A158" s="41" t="s">
        <v>1031</v>
      </c>
      <c r="B158" s="150" t="s">
        <v>144</v>
      </c>
      <c r="C158" s="166" t="s">
        <v>484</v>
      </c>
      <c r="D158" s="152">
        <v>1</v>
      </c>
      <c r="E158" s="153">
        <v>15000</v>
      </c>
      <c r="F158" s="167"/>
      <c r="G158" s="5"/>
    </row>
    <row r="159" spans="1:7" ht="23.25">
      <c r="A159" s="41" t="s">
        <v>1031</v>
      </c>
      <c r="B159" s="150" t="s">
        <v>145</v>
      </c>
      <c r="C159" s="166" t="s">
        <v>484</v>
      </c>
      <c r="D159" s="152">
        <v>1</v>
      </c>
      <c r="E159" s="153">
        <v>15000</v>
      </c>
      <c r="F159" s="167"/>
      <c r="G159" s="5"/>
    </row>
    <row r="160" spans="1:7" ht="23.25">
      <c r="A160" s="41" t="s">
        <v>1031</v>
      </c>
      <c r="B160" s="150" t="s">
        <v>146</v>
      </c>
      <c r="C160" s="166" t="s">
        <v>484</v>
      </c>
      <c r="D160" s="152">
        <v>1</v>
      </c>
      <c r="E160" s="153">
        <v>15000</v>
      </c>
      <c r="F160" s="167"/>
      <c r="G160" s="5"/>
    </row>
    <row r="161" spans="1:7" ht="23.25">
      <c r="A161" s="41" t="s">
        <v>1031</v>
      </c>
      <c r="B161" s="150" t="s">
        <v>147</v>
      </c>
      <c r="C161" s="166" t="s">
        <v>484</v>
      </c>
      <c r="D161" s="152">
        <v>1</v>
      </c>
      <c r="E161" s="153">
        <v>15000</v>
      </c>
      <c r="F161" s="167"/>
      <c r="G161" s="5"/>
    </row>
    <row r="162" spans="1:7" ht="23.25">
      <c r="A162" s="41" t="s">
        <v>1031</v>
      </c>
      <c r="B162" s="150" t="s">
        <v>142</v>
      </c>
      <c r="C162" s="166" t="s">
        <v>484</v>
      </c>
      <c r="D162" s="152">
        <v>1</v>
      </c>
      <c r="E162" s="153">
        <v>15000</v>
      </c>
      <c r="F162" s="167"/>
      <c r="G162" s="5"/>
    </row>
    <row r="163" spans="1:7" ht="46.5">
      <c r="B163" s="150" t="s">
        <v>156</v>
      </c>
      <c r="C163" s="166" t="s">
        <v>584</v>
      </c>
      <c r="D163" s="152">
        <v>4</v>
      </c>
      <c r="E163" s="153">
        <v>12000</v>
      </c>
      <c r="F163" s="167"/>
      <c r="G163" s="5"/>
    </row>
    <row r="164" spans="1:7" ht="23.25">
      <c r="B164" s="150" t="s">
        <v>157</v>
      </c>
      <c r="C164" s="166" t="s">
        <v>585</v>
      </c>
      <c r="D164" s="152">
        <v>3</v>
      </c>
      <c r="E164" s="153">
        <v>12000</v>
      </c>
      <c r="F164" s="167"/>
      <c r="G164" s="5"/>
    </row>
    <row r="165" spans="1:7" ht="23.25">
      <c r="B165" s="150" t="s">
        <v>390</v>
      </c>
      <c r="C165" s="151" t="s">
        <v>586</v>
      </c>
      <c r="D165" s="152">
        <v>5</v>
      </c>
      <c r="E165" s="153">
        <v>12000</v>
      </c>
      <c r="F165" s="167"/>
      <c r="G165" s="5"/>
    </row>
    <row r="166" spans="1:7" ht="23.25">
      <c r="A166" s="41" t="s">
        <v>1646</v>
      </c>
      <c r="B166" s="150" t="s">
        <v>155</v>
      </c>
      <c r="C166" s="166" t="s">
        <v>583</v>
      </c>
      <c r="D166" s="152">
        <v>3</v>
      </c>
      <c r="E166" s="153">
        <v>12000</v>
      </c>
      <c r="F166" s="167"/>
      <c r="G166" s="5"/>
    </row>
    <row r="167" spans="1:7" ht="23.25">
      <c r="A167" s="41" t="s">
        <v>1673</v>
      </c>
      <c r="B167" s="150" t="s">
        <v>293</v>
      </c>
      <c r="C167" s="166" t="s">
        <v>1672</v>
      </c>
      <c r="D167" s="152">
        <v>3</v>
      </c>
      <c r="E167" s="153">
        <v>12000</v>
      </c>
      <c r="F167" s="167"/>
      <c r="G167" s="5"/>
    </row>
    <row r="168" spans="1:7" ht="23.25">
      <c r="A168" s="5" t="s">
        <v>1606</v>
      </c>
      <c r="B168" s="150" t="s">
        <v>1028</v>
      </c>
      <c r="C168" s="166" t="s">
        <v>587</v>
      </c>
      <c r="D168" s="152">
        <v>2</v>
      </c>
      <c r="E168" s="153">
        <v>12000</v>
      </c>
      <c r="F168" s="167"/>
      <c r="G168" s="5"/>
    </row>
    <row r="169" spans="1:7" ht="23.25">
      <c r="A169" s="41" t="s">
        <v>1666</v>
      </c>
      <c r="B169" s="150" t="s">
        <v>154</v>
      </c>
      <c r="C169" s="166" t="s">
        <v>582</v>
      </c>
      <c r="D169" s="152">
        <v>4</v>
      </c>
      <c r="E169" s="153">
        <v>12000</v>
      </c>
      <c r="F169" s="167"/>
      <c r="G169" s="5"/>
    </row>
    <row r="170" spans="1:7" ht="23.25">
      <c r="A170" s="5" t="s">
        <v>1606</v>
      </c>
      <c r="B170" s="150" t="s">
        <v>452</v>
      </c>
      <c r="C170" s="166" t="s">
        <v>1314</v>
      </c>
      <c r="D170" s="152">
        <v>1</v>
      </c>
      <c r="E170" s="153">
        <v>10000</v>
      </c>
      <c r="F170" s="167"/>
      <c r="G170" s="5"/>
    </row>
    <row r="171" spans="1:7" ht="23.25">
      <c r="A171" s="5" t="s">
        <v>1606</v>
      </c>
      <c r="B171" s="150" t="s">
        <v>453</v>
      </c>
      <c r="C171" s="166" t="s">
        <v>1314</v>
      </c>
      <c r="D171" s="152">
        <v>1</v>
      </c>
      <c r="E171" s="153">
        <v>10000</v>
      </c>
      <c r="F171" s="167"/>
      <c r="G171" s="5"/>
    </row>
    <row r="172" spans="1:7" ht="23.25">
      <c r="A172" s="5" t="s">
        <v>1606</v>
      </c>
      <c r="B172" s="150" t="s">
        <v>1674</v>
      </c>
      <c r="C172" s="166" t="s">
        <v>1315</v>
      </c>
      <c r="D172" s="152">
        <v>1</v>
      </c>
      <c r="E172" s="153">
        <v>10000</v>
      </c>
      <c r="F172" s="167"/>
      <c r="G172" s="5"/>
    </row>
    <row r="173" spans="1:7" ht="23.25">
      <c r="A173" s="41" t="s">
        <v>1031</v>
      </c>
      <c r="B173" s="150" t="s">
        <v>135</v>
      </c>
      <c r="C173" s="166" t="s">
        <v>463</v>
      </c>
      <c r="D173" s="152">
        <v>1</v>
      </c>
      <c r="E173" s="153">
        <v>12000</v>
      </c>
      <c r="F173" s="167"/>
      <c r="G173" s="5"/>
    </row>
    <row r="174" spans="1:7" ht="23.25">
      <c r="A174" s="41" t="s">
        <v>1031</v>
      </c>
      <c r="B174" s="150" t="s">
        <v>216</v>
      </c>
      <c r="C174" s="166" t="s">
        <v>462</v>
      </c>
      <c r="D174" s="152">
        <v>1</v>
      </c>
      <c r="E174" s="153">
        <v>12000</v>
      </c>
      <c r="F174" s="167"/>
      <c r="G174" s="5"/>
    </row>
    <row r="175" spans="1:7" ht="23.25">
      <c r="A175" s="41" t="s">
        <v>1031</v>
      </c>
      <c r="B175" s="150" t="s">
        <v>215</v>
      </c>
      <c r="C175" s="166" t="s">
        <v>461</v>
      </c>
      <c r="D175" s="152">
        <v>1</v>
      </c>
      <c r="E175" s="153">
        <v>12000</v>
      </c>
      <c r="F175" s="167"/>
      <c r="G175" s="5"/>
    </row>
    <row r="176" spans="1:7" ht="23.25">
      <c r="A176" s="5" t="s">
        <v>1606</v>
      </c>
      <c r="B176" s="150" t="s">
        <v>150</v>
      </c>
      <c r="C176" s="166" t="s">
        <v>493</v>
      </c>
      <c r="D176" s="152">
        <v>1</v>
      </c>
      <c r="E176" s="153">
        <v>12000</v>
      </c>
      <c r="F176" s="167"/>
      <c r="G176" s="5"/>
    </row>
    <row r="177" spans="1:7" ht="23.25">
      <c r="A177" s="5" t="s">
        <v>1606</v>
      </c>
      <c r="B177" s="150" t="s">
        <v>151</v>
      </c>
      <c r="C177" s="166" t="s">
        <v>493</v>
      </c>
      <c r="D177" s="152">
        <v>1</v>
      </c>
      <c r="E177" s="153">
        <v>12000</v>
      </c>
      <c r="F177" s="167"/>
      <c r="G177" s="5"/>
    </row>
    <row r="178" spans="1:7" ht="23.25">
      <c r="B178" s="297" t="s">
        <v>1234</v>
      </c>
      <c r="C178" s="298"/>
      <c r="D178" s="298"/>
      <c r="E178" s="298"/>
      <c r="F178" s="145"/>
      <c r="G178" s="5"/>
    </row>
    <row r="179" spans="1:7" ht="23.25">
      <c r="A179" s="5" t="s">
        <v>1606</v>
      </c>
      <c r="B179" s="150" t="s">
        <v>1458</v>
      </c>
      <c r="C179" s="166" t="s">
        <v>1040</v>
      </c>
      <c r="D179" s="152">
        <v>3</v>
      </c>
      <c r="E179" s="153">
        <v>40000</v>
      </c>
      <c r="F179" s="161">
        <v>150000</v>
      </c>
      <c r="G179" s="5"/>
    </row>
    <row r="180" spans="1:7" ht="23.25">
      <c r="A180" s="326" t="s">
        <v>1125</v>
      </c>
      <c r="B180" s="150" t="s">
        <v>1271</v>
      </c>
      <c r="C180" s="166" t="s">
        <v>1055</v>
      </c>
      <c r="D180" s="152">
        <v>4</v>
      </c>
      <c r="E180" s="153">
        <v>25000</v>
      </c>
      <c r="F180" s="145"/>
      <c r="G180" s="5"/>
    </row>
    <row r="181" spans="1:7" ht="23.25">
      <c r="A181" s="326"/>
      <c r="B181" s="150" t="s">
        <v>1678</v>
      </c>
      <c r="C181" s="166" t="s">
        <v>1675</v>
      </c>
      <c r="D181" s="152">
        <v>3</v>
      </c>
      <c r="E181" s="153">
        <v>30000</v>
      </c>
      <c r="F181" s="145"/>
      <c r="G181" s="5"/>
    </row>
    <row r="182" spans="1:7" ht="23.25">
      <c r="A182" s="326"/>
      <c r="B182" s="150" t="s">
        <v>1676</v>
      </c>
      <c r="C182" s="166" t="s">
        <v>1677</v>
      </c>
      <c r="D182" s="152">
        <v>1</v>
      </c>
      <c r="E182" s="153">
        <v>30000</v>
      </c>
      <c r="F182" s="145"/>
      <c r="G182" s="5"/>
    </row>
    <row r="183" spans="1:7" ht="23.25">
      <c r="A183" s="326"/>
      <c r="B183" s="150" t="s">
        <v>1680</v>
      </c>
      <c r="C183" s="166" t="s">
        <v>1679</v>
      </c>
      <c r="D183" s="152">
        <v>2</v>
      </c>
      <c r="E183" s="153">
        <v>25000</v>
      </c>
      <c r="F183" s="145"/>
      <c r="G183" s="5"/>
    </row>
    <row r="184" spans="1:7" ht="23.25">
      <c r="A184" s="326"/>
      <c r="B184" s="150" t="s">
        <v>1681</v>
      </c>
      <c r="C184" s="166" t="s">
        <v>1682</v>
      </c>
      <c r="D184" s="152">
        <v>2</v>
      </c>
      <c r="E184" s="153">
        <v>20000</v>
      </c>
      <c r="F184" s="145"/>
      <c r="G184" s="5"/>
    </row>
    <row r="185" spans="1:7" ht="23.25">
      <c r="A185" s="5" t="s">
        <v>1606</v>
      </c>
      <c r="B185" s="150" t="s">
        <v>726</v>
      </c>
      <c r="C185" s="166" t="s">
        <v>719</v>
      </c>
      <c r="D185" s="152">
        <v>5</v>
      </c>
      <c r="E185" s="153">
        <v>30000</v>
      </c>
      <c r="F185" s="154"/>
      <c r="G185" s="5"/>
    </row>
    <row r="186" spans="1:7" ht="23.25">
      <c r="A186" s="41" t="s">
        <v>1713</v>
      </c>
      <c r="B186" s="150" t="s">
        <v>727</v>
      </c>
      <c r="C186" s="151" t="s">
        <v>1043</v>
      </c>
      <c r="D186" s="152">
        <v>4</v>
      </c>
      <c r="E186" s="153">
        <v>30000</v>
      </c>
      <c r="F186" s="170">
        <v>100000</v>
      </c>
      <c r="G186" s="5"/>
    </row>
    <row r="187" spans="1:7" ht="23.25">
      <c r="A187" s="5" t="s">
        <v>1606</v>
      </c>
      <c r="B187" s="150" t="s">
        <v>1683</v>
      </c>
      <c r="C187" s="166" t="s">
        <v>1042</v>
      </c>
      <c r="D187" s="152">
        <v>4</v>
      </c>
      <c r="E187" s="153">
        <v>30000</v>
      </c>
      <c r="F187" s="161">
        <v>110000</v>
      </c>
      <c r="G187" s="5"/>
    </row>
    <row r="188" spans="1:7" ht="23.25">
      <c r="A188" s="5" t="s">
        <v>1606</v>
      </c>
      <c r="B188" s="150" t="s">
        <v>1684</v>
      </c>
      <c r="C188" s="166" t="s">
        <v>1041</v>
      </c>
      <c r="D188" s="152">
        <v>3</v>
      </c>
      <c r="E188" s="153">
        <v>50000</v>
      </c>
      <c r="F188" s="161">
        <v>200000</v>
      </c>
      <c r="G188" s="5"/>
    </row>
    <row r="189" spans="1:7" ht="23.25">
      <c r="A189" s="326" t="s">
        <v>1685</v>
      </c>
      <c r="B189" s="150" t="s">
        <v>660</v>
      </c>
      <c r="C189" s="266"/>
      <c r="D189" s="152">
        <v>6</v>
      </c>
      <c r="E189" s="153">
        <v>40000</v>
      </c>
      <c r="F189" s="161">
        <v>100000</v>
      </c>
      <c r="G189" s="5"/>
    </row>
    <row r="190" spans="1:7" ht="23.25">
      <c r="A190" s="326"/>
      <c r="B190" s="150" t="s">
        <v>662</v>
      </c>
      <c r="C190" s="266"/>
      <c r="D190" s="152">
        <v>6</v>
      </c>
      <c r="E190" s="153">
        <v>60000</v>
      </c>
      <c r="F190" s="161">
        <v>150000</v>
      </c>
      <c r="G190" s="5"/>
    </row>
    <row r="191" spans="1:7" ht="23.25">
      <c r="A191" s="326"/>
      <c r="B191" s="150" t="s">
        <v>656</v>
      </c>
      <c r="C191" s="266"/>
      <c r="D191" s="152">
        <v>6</v>
      </c>
      <c r="E191" s="153">
        <v>60000</v>
      </c>
      <c r="F191" s="154">
        <v>150000</v>
      </c>
      <c r="G191" s="5"/>
    </row>
    <row r="192" spans="1:7" ht="23.25">
      <c r="A192" s="41" t="s">
        <v>1686</v>
      </c>
      <c r="B192" s="150" t="s">
        <v>692</v>
      </c>
      <c r="C192" s="151" t="s">
        <v>658</v>
      </c>
      <c r="D192" s="152">
        <v>9</v>
      </c>
      <c r="E192" s="153">
        <v>60000</v>
      </c>
      <c r="F192" s="161">
        <v>120000</v>
      </c>
      <c r="G192" s="5"/>
    </row>
    <row r="193" spans="1:7" ht="23.25">
      <c r="A193" s="41" t="s">
        <v>1687</v>
      </c>
      <c r="B193" s="150" t="s">
        <v>657</v>
      </c>
      <c r="C193" s="151" t="s">
        <v>659</v>
      </c>
      <c r="D193" s="152">
        <v>9</v>
      </c>
      <c r="E193" s="153">
        <v>50000</v>
      </c>
      <c r="F193" s="161">
        <v>100000</v>
      </c>
      <c r="G193" s="5"/>
    </row>
    <row r="194" spans="1:7" ht="23.25">
      <c r="A194" s="5" t="s">
        <v>1606</v>
      </c>
      <c r="B194" s="171" t="s">
        <v>1044</v>
      </c>
      <c r="C194" s="151" t="s">
        <v>1316</v>
      </c>
      <c r="D194" s="152">
        <v>3</v>
      </c>
      <c r="E194" s="153">
        <v>60000</v>
      </c>
      <c r="F194" s="161"/>
      <c r="G194" s="5"/>
    </row>
    <row r="195" spans="1:7" ht="23.25">
      <c r="A195" s="5" t="s">
        <v>1606</v>
      </c>
      <c r="B195" s="150" t="s">
        <v>666</v>
      </c>
      <c r="C195" s="151" t="s">
        <v>1317</v>
      </c>
      <c r="D195" s="152">
        <v>3</v>
      </c>
      <c r="E195" s="153">
        <v>60000</v>
      </c>
      <c r="F195" s="161"/>
      <c r="G195" s="5"/>
    </row>
    <row r="196" spans="1:7" ht="23.25">
      <c r="A196" s="5" t="s">
        <v>1125</v>
      </c>
      <c r="B196" s="150" t="s">
        <v>667</v>
      </c>
      <c r="C196" s="151" t="s">
        <v>1318</v>
      </c>
      <c r="D196" s="152">
        <v>3</v>
      </c>
      <c r="E196" s="153">
        <v>50000</v>
      </c>
      <c r="F196" s="161"/>
      <c r="G196" s="5"/>
    </row>
    <row r="197" spans="1:7" ht="23.25">
      <c r="A197" s="5" t="s">
        <v>1606</v>
      </c>
      <c r="B197" s="150" t="s">
        <v>668</v>
      </c>
      <c r="C197" s="151" t="s">
        <v>1319</v>
      </c>
      <c r="D197" s="152">
        <v>3</v>
      </c>
      <c r="E197" s="153">
        <v>40000</v>
      </c>
      <c r="F197" s="161"/>
      <c r="G197" s="5"/>
    </row>
    <row r="198" spans="1:7" ht="23.25">
      <c r="A198" s="5" t="s">
        <v>1606</v>
      </c>
      <c r="B198" s="171" t="s">
        <v>1045</v>
      </c>
      <c r="C198" s="151" t="s">
        <v>1320</v>
      </c>
      <c r="D198" s="152">
        <v>3</v>
      </c>
      <c r="E198" s="153">
        <v>60000</v>
      </c>
      <c r="F198" s="172"/>
      <c r="G198" s="5"/>
    </row>
    <row r="199" spans="1:7" ht="23.25">
      <c r="A199" s="5" t="s">
        <v>1125</v>
      </c>
      <c r="B199" s="150" t="s">
        <v>669</v>
      </c>
      <c r="C199" s="151" t="s">
        <v>1321</v>
      </c>
      <c r="D199" s="152">
        <v>3</v>
      </c>
      <c r="E199" s="153">
        <v>60000</v>
      </c>
      <c r="F199" s="161"/>
      <c r="G199" s="5"/>
    </row>
    <row r="200" spans="1:7" ht="23.25">
      <c r="A200" s="5" t="s">
        <v>1125</v>
      </c>
      <c r="B200" s="150" t="s">
        <v>663</v>
      </c>
      <c r="C200" s="151" t="s">
        <v>1318</v>
      </c>
      <c r="D200" s="152">
        <v>3</v>
      </c>
      <c r="E200" s="153">
        <v>50000</v>
      </c>
      <c r="F200" s="161"/>
      <c r="G200" s="5"/>
    </row>
    <row r="201" spans="1:7" ht="23.25">
      <c r="A201" s="5" t="s">
        <v>1125</v>
      </c>
      <c r="B201" s="150" t="s">
        <v>664</v>
      </c>
      <c r="C201" s="151" t="s">
        <v>1319</v>
      </c>
      <c r="D201" s="152">
        <v>3</v>
      </c>
      <c r="E201" s="153">
        <v>40000</v>
      </c>
      <c r="F201" s="161"/>
      <c r="G201" s="5"/>
    </row>
    <row r="202" spans="1:7" ht="23.25">
      <c r="A202" s="5" t="s">
        <v>1125</v>
      </c>
      <c r="B202" s="171" t="s">
        <v>1046</v>
      </c>
      <c r="C202" s="151" t="s">
        <v>1317</v>
      </c>
      <c r="D202" s="152">
        <v>3</v>
      </c>
      <c r="E202" s="153">
        <v>60000</v>
      </c>
      <c r="F202" s="172"/>
      <c r="G202" s="5"/>
    </row>
    <row r="203" spans="1:7" ht="23.25">
      <c r="A203" s="5" t="s">
        <v>1125</v>
      </c>
      <c r="B203" s="150" t="s">
        <v>663</v>
      </c>
      <c r="C203" s="151" t="s">
        <v>1318</v>
      </c>
      <c r="D203" s="152">
        <v>3</v>
      </c>
      <c r="E203" s="153">
        <v>50000</v>
      </c>
      <c r="F203" s="161"/>
      <c r="G203" s="5"/>
    </row>
    <row r="204" spans="1:7" ht="23.25">
      <c r="A204" s="5" t="s">
        <v>1606</v>
      </c>
      <c r="B204" s="150" t="s">
        <v>665</v>
      </c>
      <c r="C204" s="151" t="s">
        <v>1319</v>
      </c>
      <c r="D204" s="152">
        <v>3</v>
      </c>
      <c r="E204" s="153">
        <v>40000</v>
      </c>
      <c r="F204" s="161"/>
      <c r="G204" s="5"/>
    </row>
    <row r="205" spans="1:7" ht="23.25">
      <c r="A205" s="5" t="s">
        <v>1606</v>
      </c>
      <c r="B205" s="171" t="s">
        <v>1688</v>
      </c>
      <c r="C205" s="151" t="s">
        <v>1317</v>
      </c>
      <c r="D205" s="152">
        <v>3</v>
      </c>
      <c r="E205" s="153">
        <v>60000</v>
      </c>
      <c r="F205" s="161"/>
      <c r="G205" s="5"/>
    </row>
    <row r="206" spans="1:7" ht="23.25">
      <c r="A206" s="5" t="s">
        <v>1606</v>
      </c>
      <c r="B206" s="150" t="s">
        <v>663</v>
      </c>
      <c r="C206" s="151" t="s">
        <v>1318</v>
      </c>
      <c r="D206" s="152">
        <v>3</v>
      </c>
      <c r="E206" s="153">
        <v>50000</v>
      </c>
      <c r="F206" s="161"/>
      <c r="G206" s="5"/>
    </row>
    <row r="207" spans="1:7" ht="23.25">
      <c r="A207" s="5" t="s">
        <v>1606</v>
      </c>
      <c r="B207" s="150" t="s">
        <v>665</v>
      </c>
      <c r="C207" s="151" t="s">
        <v>1319</v>
      </c>
      <c r="D207" s="152">
        <v>3</v>
      </c>
      <c r="E207" s="153">
        <v>40000</v>
      </c>
      <c r="F207" s="161"/>
      <c r="G207" s="5"/>
    </row>
    <row r="208" spans="1:7" ht="23.25">
      <c r="B208" s="325" t="s">
        <v>1235</v>
      </c>
      <c r="C208" s="298"/>
      <c r="D208" s="298"/>
      <c r="E208" s="299"/>
      <c r="F208" s="161"/>
      <c r="G208" s="5"/>
    </row>
    <row r="209" spans="1:7" ht="23.25">
      <c r="A209" s="5" t="s">
        <v>1606</v>
      </c>
      <c r="B209" s="240" t="s">
        <v>1689</v>
      </c>
      <c r="C209" s="164" t="s">
        <v>1691</v>
      </c>
      <c r="D209" s="165">
        <v>4</v>
      </c>
      <c r="E209" s="255">
        <v>15000</v>
      </c>
      <c r="F209" s="161"/>
      <c r="G209" s="5"/>
    </row>
    <row r="210" spans="1:7" ht="23.25">
      <c r="A210" s="5" t="s">
        <v>1606</v>
      </c>
      <c r="B210" s="240" t="s">
        <v>1690</v>
      </c>
      <c r="C210" s="164" t="s">
        <v>1691</v>
      </c>
      <c r="D210" s="165">
        <v>7</v>
      </c>
      <c r="E210" s="255">
        <v>15000</v>
      </c>
      <c r="F210" s="161"/>
      <c r="G210" s="5"/>
    </row>
    <row r="211" spans="1:7" ht="23.25">
      <c r="A211" s="5" t="s">
        <v>1606</v>
      </c>
      <c r="B211" s="240" t="s">
        <v>1693</v>
      </c>
      <c r="C211" s="164" t="s">
        <v>1692</v>
      </c>
      <c r="D211" s="165">
        <v>1</v>
      </c>
      <c r="E211" s="255">
        <v>15000</v>
      </c>
      <c r="F211" s="161"/>
      <c r="G211" s="5"/>
    </row>
    <row r="212" spans="1:7" ht="23.25">
      <c r="A212" s="5" t="s">
        <v>1606</v>
      </c>
      <c r="B212" s="240" t="s">
        <v>1694</v>
      </c>
      <c r="C212" s="164" t="s">
        <v>1695</v>
      </c>
      <c r="D212" s="165">
        <v>1</v>
      </c>
      <c r="E212" s="255">
        <v>15000</v>
      </c>
      <c r="F212" s="161"/>
      <c r="G212" s="5"/>
    </row>
    <row r="213" spans="1:7" ht="23.25">
      <c r="A213" s="5" t="s">
        <v>1606</v>
      </c>
      <c r="B213" s="240" t="s">
        <v>1696</v>
      </c>
      <c r="C213" s="164" t="s">
        <v>1697</v>
      </c>
      <c r="D213" s="165">
        <v>2</v>
      </c>
      <c r="E213" s="255">
        <v>15000</v>
      </c>
      <c r="F213" s="161"/>
      <c r="G213" s="5"/>
    </row>
    <row r="214" spans="1:7" ht="23.25">
      <c r="A214" s="5" t="s">
        <v>1606</v>
      </c>
      <c r="B214" s="240" t="s">
        <v>1698</v>
      </c>
      <c r="C214" s="164" t="s">
        <v>1699</v>
      </c>
      <c r="D214" s="165">
        <v>2</v>
      </c>
      <c r="E214" s="255">
        <v>15000</v>
      </c>
      <c r="F214" s="161"/>
      <c r="G214" s="5"/>
    </row>
    <row r="215" spans="1:7" ht="23.25">
      <c r="A215" s="5" t="s">
        <v>1606</v>
      </c>
      <c r="B215" s="240" t="s">
        <v>1700</v>
      </c>
      <c r="C215" s="164" t="s">
        <v>1701</v>
      </c>
      <c r="D215" s="165">
        <v>2</v>
      </c>
      <c r="E215" s="255">
        <v>15000</v>
      </c>
      <c r="F215" s="161"/>
      <c r="G215" s="5"/>
    </row>
    <row r="216" spans="1:7" ht="23.25">
      <c r="A216" s="5" t="s">
        <v>1606</v>
      </c>
      <c r="B216" s="240" t="s">
        <v>1402</v>
      </c>
      <c r="C216" s="164" t="s">
        <v>1401</v>
      </c>
      <c r="D216" s="165">
        <v>5</v>
      </c>
      <c r="E216" s="232">
        <v>20000</v>
      </c>
      <c r="F216" s="161">
        <v>80000</v>
      </c>
      <c r="G216" s="5"/>
    </row>
    <row r="217" spans="1:7" ht="23.25">
      <c r="A217" s="5" t="s">
        <v>1606</v>
      </c>
      <c r="B217" s="233" t="s">
        <v>1048</v>
      </c>
      <c r="C217" s="151" t="s">
        <v>1323</v>
      </c>
      <c r="D217" s="152">
        <v>3</v>
      </c>
      <c r="E217" s="153">
        <v>40000</v>
      </c>
      <c r="F217" s="161"/>
      <c r="G217" s="5"/>
    </row>
    <row r="218" spans="1:7" ht="23.25">
      <c r="A218" s="5" t="s">
        <v>1606</v>
      </c>
      <c r="B218" s="150" t="s">
        <v>1702</v>
      </c>
      <c r="C218" s="151" t="s">
        <v>1322</v>
      </c>
      <c r="D218" s="152">
        <v>3</v>
      </c>
      <c r="E218" s="153">
        <v>30000</v>
      </c>
      <c r="F218" s="161"/>
      <c r="G218" s="5"/>
    </row>
    <row r="219" spans="1:7" ht="23.25">
      <c r="A219" s="5" t="s">
        <v>1606</v>
      </c>
      <c r="B219" s="150" t="s">
        <v>1047</v>
      </c>
      <c r="C219" s="151" t="s">
        <v>1324</v>
      </c>
      <c r="D219" s="152">
        <v>3</v>
      </c>
      <c r="E219" s="153">
        <v>40000</v>
      </c>
      <c r="F219" s="161"/>
      <c r="G219" s="5"/>
    </row>
    <row r="220" spans="1:7" ht="23.25">
      <c r="A220" s="5" t="s">
        <v>1606</v>
      </c>
      <c r="B220" s="150" t="s">
        <v>1703</v>
      </c>
      <c r="C220" s="151" t="s">
        <v>1322</v>
      </c>
      <c r="D220" s="152">
        <v>3</v>
      </c>
      <c r="E220" s="153">
        <v>30000</v>
      </c>
      <c r="F220" s="161"/>
      <c r="G220" s="5"/>
    </row>
    <row r="221" spans="1:7" ht="23.25">
      <c r="A221" s="5" t="s">
        <v>1125</v>
      </c>
      <c r="B221" s="150" t="s">
        <v>982</v>
      </c>
      <c r="C221" s="151" t="s">
        <v>980</v>
      </c>
      <c r="D221" s="152">
        <v>1</v>
      </c>
      <c r="E221" s="173">
        <v>70000</v>
      </c>
      <c r="F221" s="147"/>
      <c r="G221" s="5"/>
    </row>
    <row r="222" spans="1:7" ht="23.25">
      <c r="A222" s="5" t="s">
        <v>1125</v>
      </c>
      <c r="B222" s="150" t="s">
        <v>981</v>
      </c>
      <c r="C222" s="151" t="s">
        <v>978</v>
      </c>
      <c r="D222" s="152">
        <v>1</v>
      </c>
      <c r="E222" s="173">
        <v>50000</v>
      </c>
      <c r="F222" s="147"/>
      <c r="G222" s="5"/>
    </row>
    <row r="223" spans="1:7" ht="23.25">
      <c r="A223" s="5" t="s">
        <v>1125</v>
      </c>
      <c r="B223" s="150" t="s">
        <v>981</v>
      </c>
      <c r="C223" s="151" t="s">
        <v>979</v>
      </c>
      <c r="D223" s="152">
        <v>1</v>
      </c>
      <c r="E223" s="173">
        <v>50000</v>
      </c>
      <c r="F223" s="147"/>
      <c r="G223" s="5"/>
    </row>
    <row r="224" spans="1:7" ht="23.25">
      <c r="A224" s="5" t="s">
        <v>1125</v>
      </c>
      <c r="B224" s="150" t="s">
        <v>982</v>
      </c>
      <c r="C224" s="151" t="s">
        <v>983</v>
      </c>
      <c r="D224" s="152">
        <v>1</v>
      </c>
      <c r="E224" s="173">
        <v>70000</v>
      </c>
      <c r="F224" s="147"/>
      <c r="G224" s="5"/>
    </row>
    <row r="225" spans="1:7" ht="23.25">
      <c r="B225" s="150" t="s">
        <v>1705</v>
      </c>
      <c r="C225" s="151" t="s">
        <v>1704</v>
      </c>
      <c r="D225" s="152">
        <v>18</v>
      </c>
      <c r="E225" s="153">
        <v>12000</v>
      </c>
      <c r="F225" s="174">
        <v>49.417000000000002</v>
      </c>
      <c r="G225" s="5"/>
    </row>
    <row r="226" spans="1:7" ht="23.25">
      <c r="A226" s="41" t="s">
        <v>1708</v>
      </c>
      <c r="B226" s="150" t="s">
        <v>1706</v>
      </c>
      <c r="C226" s="151" t="s">
        <v>1707</v>
      </c>
      <c r="D226" s="152">
        <v>30</v>
      </c>
      <c r="E226" s="153"/>
      <c r="F226" s="174"/>
      <c r="G226" s="5"/>
    </row>
    <row r="227" spans="1:7" ht="23.25">
      <c r="A227" s="5" t="s">
        <v>1125</v>
      </c>
      <c r="B227" s="150" t="s">
        <v>66</v>
      </c>
      <c r="C227" s="151" t="s">
        <v>1206</v>
      </c>
      <c r="D227" s="152">
        <v>1</v>
      </c>
      <c r="E227" s="140">
        <v>5000</v>
      </c>
      <c r="F227" s="137">
        <f t="shared" ref="F227:F231" si="0">SUM(D227:E227)</f>
        <v>5001</v>
      </c>
      <c r="G227" s="5"/>
    </row>
    <row r="228" spans="1:7" ht="23.25">
      <c r="A228" s="5" t="s">
        <v>1125</v>
      </c>
      <c r="B228" s="150" t="s">
        <v>67</v>
      </c>
      <c r="C228" s="151" t="s">
        <v>1207</v>
      </c>
      <c r="D228" s="152">
        <v>1</v>
      </c>
      <c r="E228" s="140">
        <v>5000</v>
      </c>
      <c r="F228" s="137">
        <f t="shared" si="0"/>
        <v>5001</v>
      </c>
      <c r="G228" s="5"/>
    </row>
    <row r="229" spans="1:7" ht="23.25">
      <c r="A229" s="5" t="s">
        <v>1125</v>
      </c>
      <c r="B229" s="150" t="s">
        <v>68</v>
      </c>
      <c r="C229" s="151" t="s">
        <v>1206</v>
      </c>
      <c r="D229" s="152">
        <v>1</v>
      </c>
      <c r="E229" s="140">
        <v>5000</v>
      </c>
      <c r="F229" s="137">
        <f t="shared" si="0"/>
        <v>5001</v>
      </c>
      <c r="G229" s="5"/>
    </row>
    <row r="230" spans="1:7" ht="23.25">
      <c r="A230" s="41" t="s">
        <v>1666</v>
      </c>
      <c r="B230" s="150" t="s">
        <v>1709</v>
      </c>
      <c r="C230" s="151"/>
      <c r="D230" s="152">
        <v>10</v>
      </c>
      <c r="E230" s="140">
        <v>5000</v>
      </c>
      <c r="F230" s="137">
        <f t="shared" si="0"/>
        <v>5010</v>
      </c>
      <c r="G230" s="5"/>
    </row>
    <row r="231" spans="1:7" ht="23.25">
      <c r="A231" s="5" t="s">
        <v>1125</v>
      </c>
      <c r="B231" s="150" t="s">
        <v>1710</v>
      </c>
      <c r="C231" s="151" t="s">
        <v>1198</v>
      </c>
      <c r="D231" s="152">
        <v>6</v>
      </c>
      <c r="E231" s="140">
        <v>5000</v>
      </c>
      <c r="F231" s="137">
        <f t="shared" si="0"/>
        <v>5006</v>
      </c>
      <c r="G231" s="5"/>
    </row>
    <row r="232" spans="1:7" ht="23.25">
      <c r="A232" s="5" t="s">
        <v>1125</v>
      </c>
      <c r="B232" s="150" t="s">
        <v>696</v>
      </c>
      <c r="C232" s="151" t="s">
        <v>1326</v>
      </c>
      <c r="D232" s="152">
        <v>4</v>
      </c>
      <c r="E232" s="140">
        <v>20000</v>
      </c>
      <c r="F232" s="137"/>
      <c r="G232" s="5"/>
    </row>
    <row r="233" spans="1:7" ht="23.25">
      <c r="A233" s="5" t="s">
        <v>1125</v>
      </c>
      <c r="B233" s="150" t="s">
        <v>1711</v>
      </c>
      <c r="C233" s="151" t="s">
        <v>976</v>
      </c>
      <c r="D233" s="152">
        <v>7</v>
      </c>
      <c r="E233" s="140">
        <v>15000</v>
      </c>
      <c r="F233" s="137"/>
      <c r="G233" s="5"/>
    </row>
    <row r="234" spans="1:7" ht="23.25">
      <c r="A234" s="5" t="s">
        <v>1125</v>
      </c>
      <c r="B234" s="150" t="s">
        <v>1712</v>
      </c>
      <c r="C234" s="151" t="s">
        <v>977</v>
      </c>
      <c r="D234" s="152">
        <v>3</v>
      </c>
      <c r="E234" s="140">
        <v>10000</v>
      </c>
      <c r="F234" s="137"/>
      <c r="G234" s="5"/>
    </row>
    <row r="235" spans="1:7" ht="23.25">
      <c r="A235" s="5" t="s">
        <v>1125</v>
      </c>
      <c r="B235" s="150" t="s">
        <v>1236</v>
      </c>
      <c r="C235" s="151" t="s">
        <v>1325</v>
      </c>
      <c r="D235" s="152">
        <v>4</v>
      </c>
      <c r="E235" s="140">
        <v>10000</v>
      </c>
      <c r="F235" s="137"/>
      <c r="G235" s="5"/>
    </row>
    <row r="236" spans="1:7" ht="23.25">
      <c r="A236" s="41" t="s">
        <v>1713</v>
      </c>
      <c r="B236" s="150" t="s">
        <v>811</v>
      </c>
      <c r="C236" s="151" t="s">
        <v>812</v>
      </c>
      <c r="D236" s="152">
        <v>3</v>
      </c>
      <c r="E236" s="140">
        <v>15000</v>
      </c>
      <c r="F236" s="137">
        <v>30000</v>
      </c>
      <c r="G236" s="5"/>
    </row>
    <row r="237" spans="1:7" ht="23.25">
      <c r="B237" s="328" t="s">
        <v>1984</v>
      </c>
      <c r="C237" s="329"/>
      <c r="D237" s="329"/>
      <c r="E237" s="330"/>
      <c r="F237" s="137"/>
      <c r="G237" s="5"/>
    </row>
    <row r="238" spans="1:7" ht="23.25">
      <c r="B238" s="150" t="s">
        <v>1208</v>
      </c>
      <c r="C238" s="151" t="s">
        <v>1209</v>
      </c>
      <c r="D238" s="152">
        <v>3</v>
      </c>
      <c r="E238" s="140">
        <v>15000</v>
      </c>
      <c r="F238" s="137">
        <v>30000</v>
      </c>
      <c r="G238" s="5"/>
    </row>
    <row r="239" spans="1:7" ht="23.25">
      <c r="A239" s="5" t="s">
        <v>1125</v>
      </c>
      <c r="B239" s="150" t="s">
        <v>1204</v>
      </c>
      <c r="C239" s="151" t="s">
        <v>1205</v>
      </c>
      <c r="D239" s="152">
        <v>10</v>
      </c>
      <c r="E239" s="140">
        <v>10000</v>
      </c>
      <c r="F239" s="137">
        <f>SUM(D239:E239)</f>
        <v>10010</v>
      </c>
      <c r="G239" s="5"/>
    </row>
    <row r="240" spans="1:7" ht="23.25">
      <c r="A240" s="5" t="s">
        <v>1125</v>
      </c>
      <c r="B240" s="150" t="s">
        <v>993</v>
      </c>
      <c r="C240" s="151" t="s">
        <v>1210</v>
      </c>
      <c r="D240" s="147">
        <v>2</v>
      </c>
      <c r="E240" s="195">
        <v>5000</v>
      </c>
      <c r="F240" s="137"/>
      <c r="G240" s="5"/>
    </row>
    <row r="241" spans="1:7" ht="23.25">
      <c r="A241" s="5" t="s">
        <v>1125</v>
      </c>
      <c r="B241" s="150" t="s">
        <v>992</v>
      </c>
      <c r="C241" s="151" t="s">
        <v>1211</v>
      </c>
      <c r="D241" s="152">
        <v>2</v>
      </c>
      <c r="E241" s="153">
        <v>5000</v>
      </c>
      <c r="F241" s="137"/>
      <c r="G241" s="5"/>
    </row>
    <row r="242" spans="1:7" ht="23.25">
      <c r="A242" s="5" t="s">
        <v>1125</v>
      </c>
      <c r="B242" s="150" t="s">
        <v>87</v>
      </c>
      <c r="C242" s="151" t="s">
        <v>1359</v>
      </c>
      <c r="D242" s="152">
        <v>2</v>
      </c>
      <c r="E242" s="153">
        <v>15000</v>
      </c>
      <c r="F242" s="137"/>
      <c r="G242" s="5"/>
    </row>
    <row r="243" spans="1:7" ht="23.25">
      <c r="A243" s="5" t="s">
        <v>1125</v>
      </c>
      <c r="B243" s="150" t="s">
        <v>88</v>
      </c>
      <c r="C243" s="151" t="s">
        <v>1360</v>
      </c>
      <c r="D243" s="152">
        <v>1</v>
      </c>
      <c r="E243" s="153">
        <v>5000</v>
      </c>
      <c r="F243" s="137"/>
      <c r="G243" s="5"/>
    </row>
    <row r="244" spans="1:7" ht="23.25">
      <c r="B244" s="297" t="s">
        <v>672</v>
      </c>
      <c r="C244" s="298"/>
      <c r="D244" s="298"/>
      <c r="E244" s="299"/>
      <c r="F244" s="147"/>
      <c r="G244" s="5"/>
    </row>
    <row r="245" spans="1:7" ht="23.25">
      <c r="A245" s="111" t="s">
        <v>1606</v>
      </c>
      <c r="B245" s="150" t="s">
        <v>1714</v>
      </c>
      <c r="C245" s="151" t="s">
        <v>1117</v>
      </c>
      <c r="D245" s="152">
        <v>2</v>
      </c>
      <c r="E245" s="175">
        <v>100000</v>
      </c>
      <c r="F245" s="150"/>
      <c r="G245" s="5"/>
    </row>
    <row r="246" spans="1:7" ht="23.25">
      <c r="A246" s="111"/>
      <c r="B246" s="176" t="s">
        <v>1726</v>
      </c>
      <c r="C246" s="151" t="s">
        <v>1715</v>
      </c>
      <c r="D246" s="152">
        <v>1</v>
      </c>
      <c r="E246" s="177">
        <v>70000</v>
      </c>
      <c r="F246" s="150"/>
      <c r="G246" s="5"/>
    </row>
    <row r="247" spans="1:7" ht="23.25">
      <c r="A247" s="111"/>
      <c r="B247" s="176" t="s">
        <v>1727</v>
      </c>
      <c r="C247" s="151" t="s">
        <v>1180</v>
      </c>
      <c r="D247" s="152">
        <v>1</v>
      </c>
      <c r="E247" s="177">
        <v>70000</v>
      </c>
      <c r="F247" s="150"/>
      <c r="G247" s="5"/>
    </row>
    <row r="248" spans="1:7" ht="23.25">
      <c r="A248" s="111"/>
      <c r="B248" s="176" t="s">
        <v>1728</v>
      </c>
      <c r="C248" s="151" t="s">
        <v>1182</v>
      </c>
      <c r="D248" s="152">
        <v>1</v>
      </c>
      <c r="E248" s="177">
        <v>70000</v>
      </c>
      <c r="F248" s="150"/>
      <c r="G248" s="5"/>
    </row>
    <row r="249" spans="1:7" ht="23.25">
      <c r="A249" s="5" t="s">
        <v>1666</v>
      </c>
      <c r="B249" s="176" t="s">
        <v>1118</v>
      </c>
      <c r="C249" s="151" t="s">
        <v>1715</v>
      </c>
      <c r="D249" s="152">
        <v>1</v>
      </c>
      <c r="E249" s="177">
        <v>70000</v>
      </c>
      <c r="F249" s="152"/>
      <c r="G249" s="5"/>
    </row>
    <row r="250" spans="1:7" ht="23.25">
      <c r="A250" s="5" t="s">
        <v>1606</v>
      </c>
      <c r="B250" s="176" t="s">
        <v>1118</v>
      </c>
      <c r="C250" s="151" t="s">
        <v>1180</v>
      </c>
      <c r="D250" s="152">
        <v>1</v>
      </c>
      <c r="E250" s="177">
        <v>70000</v>
      </c>
      <c r="F250" s="152"/>
      <c r="G250" s="5"/>
    </row>
    <row r="251" spans="1:7" ht="23.25">
      <c r="A251" s="5" t="s">
        <v>1606</v>
      </c>
      <c r="B251" s="176" t="s">
        <v>1178</v>
      </c>
      <c r="C251" s="151" t="s">
        <v>1182</v>
      </c>
      <c r="D251" s="152">
        <v>1</v>
      </c>
      <c r="E251" s="177">
        <v>70000</v>
      </c>
      <c r="F251" s="152"/>
      <c r="G251" s="5"/>
    </row>
    <row r="252" spans="1:7" ht="23.25">
      <c r="A252" s="5" t="s">
        <v>1606</v>
      </c>
      <c r="B252" s="176" t="s">
        <v>1716</v>
      </c>
      <c r="C252" s="151" t="s">
        <v>1179</v>
      </c>
      <c r="D252" s="152"/>
      <c r="E252" s="177">
        <v>70000</v>
      </c>
      <c r="F252" s="152"/>
      <c r="G252" s="5"/>
    </row>
    <row r="253" spans="1:7" ht="23.25">
      <c r="A253" s="5" t="s">
        <v>1606</v>
      </c>
      <c r="B253" s="176" t="s">
        <v>1717</v>
      </c>
      <c r="C253" s="151" t="s">
        <v>1180</v>
      </c>
      <c r="D253" s="152"/>
      <c r="E253" s="177">
        <v>70000</v>
      </c>
      <c r="F253" s="152"/>
      <c r="G253" s="5"/>
    </row>
    <row r="254" spans="1:7" ht="23.25">
      <c r="A254" s="5" t="s">
        <v>1606</v>
      </c>
      <c r="B254" s="176" t="s">
        <v>1718</v>
      </c>
      <c r="C254" s="151" t="s">
        <v>1181</v>
      </c>
      <c r="D254" s="152"/>
      <c r="E254" s="177">
        <v>70000</v>
      </c>
      <c r="F254" s="152"/>
      <c r="G254" s="5"/>
    </row>
    <row r="255" spans="1:7" ht="23.25">
      <c r="A255" s="5" t="s">
        <v>1606</v>
      </c>
      <c r="B255" s="176" t="s">
        <v>1719</v>
      </c>
      <c r="C255" s="151" t="s">
        <v>1119</v>
      </c>
      <c r="D255" s="152">
        <v>1</v>
      </c>
      <c r="E255" s="177">
        <v>120000</v>
      </c>
      <c r="F255" s="154" t="s">
        <v>1063</v>
      </c>
      <c r="G255" s="5"/>
    </row>
    <row r="256" spans="1:7" ht="23.25">
      <c r="A256" s="41" t="s">
        <v>944</v>
      </c>
      <c r="B256" s="176" t="s">
        <v>1134</v>
      </c>
      <c r="C256" s="151" t="s">
        <v>1120</v>
      </c>
      <c r="D256" s="152">
        <v>1</v>
      </c>
      <c r="E256" s="177">
        <v>50000</v>
      </c>
      <c r="F256" s="152"/>
      <c r="G256" s="5"/>
    </row>
    <row r="257" spans="1:7" ht="23.25">
      <c r="A257" s="5" t="s">
        <v>1606</v>
      </c>
      <c r="B257" s="150" t="s">
        <v>1121</v>
      </c>
      <c r="C257" s="151" t="s">
        <v>1122</v>
      </c>
      <c r="D257" s="152">
        <v>2</v>
      </c>
      <c r="E257" s="178">
        <v>200000</v>
      </c>
      <c r="F257" s="137"/>
      <c r="G257" s="5"/>
    </row>
    <row r="258" spans="1:7" ht="23.25">
      <c r="A258" s="5" t="s">
        <v>1606</v>
      </c>
      <c r="B258" s="150" t="s">
        <v>1123</v>
      </c>
      <c r="C258" s="151" t="s">
        <v>1326</v>
      </c>
      <c r="D258" s="152">
        <v>24</v>
      </c>
      <c r="E258" s="178" t="s">
        <v>1124</v>
      </c>
      <c r="F258" s="137"/>
      <c r="G258" s="5"/>
    </row>
    <row r="259" spans="1:7" ht="23.25">
      <c r="A259" s="41" t="s">
        <v>1720</v>
      </c>
      <c r="B259" s="150" t="s">
        <v>817</v>
      </c>
      <c r="C259" s="151" t="s">
        <v>1326</v>
      </c>
      <c r="D259" s="152">
        <v>25</v>
      </c>
      <c r="E259" s="178" t="s">
        <v>1124</v>
      </c>
      <c r="F259" s="137"/>
      <c r="G259" s="5"/>
    </row>
    <row r="260" spans="1:7" ht="23.25">
      <c r="A260" s="5" t="s">
        <v>1606</v>
      </c>
      <c r="B260" s="150" t="s">
        <v>818</v>
      </c>
      <c r="C260" s="151" t="s">
        <v>1326</v>
      </c>
      <c r="D260" s="152">
        <v>24</v>
      </c>
      <c r="E260" s="178" t="s">
        <v>1124</v>
      </c>
      <c r="F260" s="137"/>
      <c r="G260" s="5"/>
    </row>
    <row r="261" spans="1:7" ht="23.25">
      <c r="A261" s="5" t="s">
        <v>1606</v>
      </c>
      <c r="B261" s="150" t="s">
        <v>18</v>
      </c>
      <c r="C261" s="151" t="s">
        <v>1128</v>
      </c>
      <c r="D261" s="152">
        <v>1</v>
      </c>
      <c r="E261" s="155">
        <v>60000</v>
      </c>
      <c r="F261" s="154"/>
      <c r="G261" s="5"/>
    </row>
    <row r="262" spans="1:7" ht="23.25">
      <c r="A262" s="326" t="s">
        <v>1722</v>
      </c>
      <c r="B262" s="176" t="s">
        <v>503</v>
      </c>
      <c r="C262" s="166" t="s">
        <v>505</v>
      </c>
      <c r="D262" s="152">
        <v>1</v>
      </c>
      <c r="E262" s="155">
        <v>30000</v>
      </c>
      <c r="F262" s="154"/>
      <c r="G262" s="5"/>
    </row>
    <row r="263" spans="1:7" ht="23.25">
      <c r="A263" s="326"/>
      <c r="B263" s="176" t="s">
        <v>504</v>
      </c>
      <c r="C263" s="166" t="s">
        <v>506</v>
      </c>
      <c r="D263" s="152">
        <v>1</v>
      </c>
      <c r="E263" s="155">
        <v>30000</v>
      </c>
      <c r="F263" s="154"/>
      <c r="G263" s="5"/>
    </row>
    <row r="264" spans="1:7" ht="23.25">
      <c r="A264" s="326"/>
      <c r="B264" s="176" t="s">
        <v>504</v>
      </c>
      <c r="C264" s="151" t="s">
        <v>1721</v>
      </c>
      <c r="D264" s="152">
        <v>1</v>
      </c>
      <c r="E264" s="155">
        <v>30000</v>
      </c>
      <c r="F264" s="154"/>
      <c r="G264" s="5"/>
    </row>
    <row r="265" spans="1:7" ht="23.25">
      <c r="A265" s="41" t="s">
        <v>1723</v>
      </c>
      <c r="B265" s="150" t="s">
        <v>110</v>
      </c>
      <c r="C265" s="151" t="s">
        <v>1132</v>
      </c>
      <c r="D265" s="179">
        <v>1</v>
      </c>
      <c r="E265" s="180">
        <v>60000</v>
      </c>
      <c r="F265" s="154"/>
      <c r="G265" s="5"/>
    </row>
    <row r="266" spans="1:7" ht="23.25">
      <c r="A266" s="5" t="s">
        <v>1606</v>
      </c>
      <c r="B266" s="150" t="s">
        <v>1725</v>
      </c>
      <c r="C266" s="151" t="s">
        <v>128</v>
      </c>
      <c r="D266" s="179">
        <v>1</v>
      </c>
      <c r="E266" s="180">
        <v>50000</v>
      </c>
      <c r="F266" s="154"/>
      <c r="G266" s="5"/>
    </row>
    <row r="267" spans="1:7" ht="23.25">
      <c r="A267" s="41" t="s">
        <v>1724</v>
      </c>
      <c r="B267" s="150" t="s">
        <v>1729</v>
      </c>
      <c r="C267" s="151" t="s">
        <v>1731</v>
      </c>
      <c r="D267" s="179">
        <v>1</v>
      </c>
      <c r="E267" s="180">
        <v>100000</v>
      </c>
      <c r="F267" s="154"/>
      <c r="G267" s="5"/>
    </row>
    <row r="268" spans="1:7" ht="23.25">
      <c r="A268" s="5" t="s">
        <v>1606</v>
      </c>
      <c r="B268" s="150" t="s">
        <v>1730</v>
      </c>
      <c r="C268" s="151" t="s">
        <v>1732</v>
      </c>
      <c r="D268" s="179">
        <v>1</v>
      </c>
      <c r="E268" s="180">
        <v>100000</v>
      </c>
      <c r="F268" s="154"/>
      <c r="G268" s="5"/>
    </row>
    <row r="269" spans="1:7" ht="23.25">
      <c r="A269" s="5" t="s">
        <v>1606</v>
      </c>
      <c r="B269" s="150" t="s">
        <v>502</v>
      </c>
      <c r="C269" s="151" t="s">
        <v>1133</v>
      </c>
      <c r="D269" s="152">
        <v>1</v>
      </c>
      <c r="E269" s="155">
        <v>100000</v>
      </c>
      <c r="F269" s="154"/>
      <c r="G269" s="5"/>
    </row>
    <row r="270" spans="1:7" ht="23.25">
      <c r="A270" s="5" t="s">
        <v>1606</v>
      </c>
      <c r="B270" s="150" t="s">
        <v>1176</v>
      </c>
      <c r="C270" s="151" t="s">
        <v>1177</v>
      </c>
      <c r="D270" s="152">
        <v>1</v>
      </c>
      <c r="E270" s="155">
        <v>70000</v>
      </c>
      <c r="F270" s="154"/>
      <c r="G270" s="5"/>
    </row>
    <row r="271" spans="1:7" ht="23.25">
      <c r="A271" s="41" t="s">
        <v>1724</v>
      </c>
      <c r="B271" s="150" t="s">
        <v>109</v>
      </c>
      <c r="C271" s="151" t="s">
        <v>1130</v>
      </c>
      <c r="D271" s="152">
        <v>1</v>
      </c>
      <c r="E271" s="155">
        <v>70000</v>
      </c>
      <c r="F271" s="154"/>
      <c r="G271" s="5"/>
    </row>
    <row r="272" spans="1:7" ht="23.25">
      <c r="A272" s="5" t="s">
        <v>1606</v>
      </c>
      <c r="B272" s="150" t="s">
        <v>240</v>
      </c>
      <c r="C272" s="151" t="s">
        <v>1129</v>
      </c>
      <c r="D272" s="152">
        <v>1</v>
      </c>
      <c r="E272" s="155">
        <v>70000</v>
      </c>
      <c r="F272" s="154"/>
      <c r="G272" s="5"/>
    </row>
    <row r="273" spans="1:7" ht="23.25">
      <c r="A273" s="5" t="s">
        <v>1606</v>
      </c>
      <c r="B273" s="150" t="s">
        <v>17</v>
      </c>
      <c r="C273" s="166" t="s">
        <v>1131</v>
      </c>
      <c r="D273" s="152">
        <v>1</v>
      </c>
      <c r="E273" s="155">
        <v>50000</v>
      </c>
      <c r="F273" s="154"/>
      <c r="G273" s="5"/>
    </row>
    <row r="274" spans="1:7" ht="23.25">
      <c r="A274" s="41" t="s">
        <v>1666</v>
      </c>
      <c r="B274" s="150" t="s">
        <v>1848</v>
      </c>
      <c r="C274" s="166"/>
      <c r="D274" s="152">
        <v>2</v>
      </c>
      <c r="E274" s="155">
        <v>40000</v>
      </c>
      <c r="F274" s="154"/>
      <c r="G274" s="5"/>
    </row>
    <row r="275" spans="1:7" ht="23.25">
      <c r="A275" s="41" t="s">
        <v>1666</v>
      </c>
      <c r="B275" s="150" t="s">
        <v>1847</v>
      </c>
      <c r="C275" s="166"/>
      <c r="D275" s="152">
        <v>2</v>
      </c>
      <c r="E275" s="155">
        <v>100000</v>
      </c>
      <c r="F275" s="154"/>
      <c r="G275" s="5"/>
    </row>
    <row r="276" spans="1:7" ht="23.25">
      <c r="A276" s="41" t="s">
        <v>1733</v>
      </c>
      <c r="B276" s="150" t="s">
        <v>16</v>
      </c>
      <c r="C276" s="151" t="s">
        <v>508</v>
      </c>
      <c r="D276" s="152">
        <v>1</v>
      </c>
      <c r="E276" s="155">
        <v>50000</v>
      </c>
      <c r="F276" s="154"/>
      <c r="G276" s="5"/>
    </row>
    <row r="277" spans="1:7" ht="23.25">
      <c r="A277" s="41" t="s">
        <v>1031</v>
      </c>
      <c r="B277" s="150" t="s">
        <v>15</v>
      </c>
      <c r="C277" s="151" t="s">
        <v>507</v>
      </c>
      <c r="D277" s="152">
        <v>1</v>
      </c>
      <c r="E277" s="155">
        <v>50000</v>
      </c>
      <c r="F277" s="154"/>
      <c r="G277" s="5"/>
    </row>
    <row r="278" spans="1:7" ht="23.25">
      <c r="A278" s="41" t="s">
        <v>1031</v>
      </c>
      <c r="B278" s="150" t="s">
        <v>111</v>
      </c>
      <c r="C278" s="151" t="s">
        <v>1138</v>
      </c>
      <c r="D278" s="152">
        <v>1</v>
      </c>
      <c r="E278" s="155">
        <v>80000</v>
      </c>
      <c r="F278" s="154"/>
      <c r="G278" s="5"/>
    </row>
    <row r="279" spans="1:7" ht="23.25">
      <c r="A279" s="41" t="s">
        <v>1127</v>
      </c>
      <c r="B279" s="176" t="s">
        <v>1135</v>
      </c>
      <c r="C279" s="151" t="s">
        <v>133</v>
      </c>
      <c r="D279" s="152">
        <v>1</v>
      </c>
      <c r="E279" s="155">
        <v>30000</v>
      </c>
      <c r="F279" s="154"/>
      <c r="G279" s="5"/>
    </row>
    <row r="280" spans="1:7" ht="23.25">
      <c r="A280" s="41" t="s">
        <v>1127</v>
      </c>
      <c r="B280" s="176" t="s">
        <v>1136</v>
      </c>
      <c r="C280" s="151" t="s">
        <v>132</v>
      </c>
      <c r="D280" s="152">
        <v>1</v>
      </c>
      <c r="E280" s="155">
        <v>30000</v>
      </c>
      <c r="F280" s="154"/>
      <c r="G280" s="5"/>
    </row>
    <row r="281" spans="1:7" ht="23.25">
      <c r="A281" s="41" t="s">
        <v>1127</v>
      </c>
      <c r="B281" s="176" t="s">
        <v>131</v>
      </c>
      <c r="C281" s="151" t="s">
        <v>280</v>
      </c>
      <c r="D281" s="152">
        <v>1</v>
      </c>
      <c r="E281" s="155">
        <v>30000</v>
      </c>
      <c r="F281" s="154"/>
      <c r="G281" s="5"/>
    </row>
    <row r="282" spans="1:7" ht="23.25">
      <c r="A282" s="41" t="s">
        <v>1127</v>
      </c>
      <c r="B282" s="176" t="s">
        <v>1137</v>
      </c>
      <c r="C282" s="151" t="s">
        <v>134</v>
      </c>
      <c r="D282" s="152">
        <v>1</v>
      </c>
      <c r="E282" s="155">
        <v>30000</v>
      </c>
      <c r="F282" s="154"/>
      <c r="G282" s="5"/>
    </row>
    <row r="283" spans="1:7" ht="23.25">
      <c r="B283" s="297" t="s">
        <v>1985</v>
      </c>
      <c r="C283" s="298"/>
      <c r="D283" s="298"/>
      <c r="E283" s="299"/>
      <c r="F283" s="154"/>
      <c r="G283" s="5"/>
    </row>
    <row r="284" spans="1:7" ht="23.25">
      <c r="A284" s="5" t="s">
        <v>1606</v>
      </c>
      <c r="B284" s="146" t="s">
        <v>791</v>
      </c>
      <c r="C284" s="138" t="s">
        <v>1151</v>
      </c>
      <c r="D284" s="139">
        <v>3</v>
      </c>
      <c r="E284" s="140">
        <v>30000</v>
      </c>
      <c r="F284" s="137">
        <v>50000</v>
      </c>
      <c r="G284" s="5"/>
    </row>
    <row r="285" spans="1:7" ht="23.25">
      <c r="A285" s="5" t="s">
        <v>1606</v>
      </c>
      <c r="B285" s="146" t="s">
        <v>792</v>
      </c>
      <c r="C285" s="138" t="s">
        <v>1152</v>
      </c>
      <c r="D285" s="139">
        <v>5</v>
      </c>
      <c r="E285" s="140">
        <v>30000</v>
      </c>
      <c r="F285" s="137">
        <v>50000</v>
      </c>
      <c r="G285" s="5"/>
    </row>
    <row r="286" spans="1:7" ht="23.25">
      <c r="A286" s="5" t="s">
        <v>1606</v>
      </c>
      <c r="B286" s="150" t="s">
        <v>177</v>
      </c>
      <c r="C286" s="151" t="s">
        <v>1330</v>
      </c>
      <c r="D286" s="152">
        <v>1</v>
      </c>
      <c r="E286" s="155">
        <v>20000</v>
      </c>
      <c r="F286" s="154"/>
      <c r="G286" s="5"/>
    </row>
    <row r="287" spans="1:7" ht="23.25">
      <c r="A287" s="5" t="s">
        <v>1606</v>
      </c>
      <c r="B287" s="150" t="s">
        <v>179</v>
      </c>
      <c r="C287" s="151" t="s">
        <v>1331</v>
      </c>
      <c r="D287" s="152">
        <v>12</v>
      </c>
      <c r="E287" s="155">
        <v>2000</v>
      </c>
      <c r="F287" s="154"/>
      <c r="G287" s="5"/>
    </row>
    <row r="288" spans="1:7" ht="23.25">
      <c r="A288" s="5" t="s">
        <v>1606</v>
      </c>
      <c r="B288" s="150" t="s">
        <v>29</v>
      </c>
      <c r="C288" s="151" t="s">
        <v>1332</v>
      </c>
      <c r="D288" s="152">
        <v>1</v>
      </c>
      <c r="E288" s="155">
        <v>20000</v>
      </c>
      <c r="F288" s="154"/>
      <c r="G288" s="5"/>
    </row>
    <row r="289" spans="1:7" ht="23.25">
      <c r="A289" s="5" t="s">
        <v>1606</v>
      </c>
      <c r="B289" s="150" t="s">
        <v>180</v>
      </c>
      <c r="C289" s="151" t="s">
        <v>1333</v>
      </c>
      <c r="D289" s="152">
        <v>12</v>
      </c>
      <c r="E289" s="155">
        <v>2000</v>
      </c>
      <c r="F289" s="154"/>
      <c r="G289" s="5"/>
    </row>
    <row r="290" spans="1:7" ht="23.25">
      <c r="A290" s="5" t="s">
        <v>1606</v>
      </c>
      <c r="B290" s="150" t="s">
        <v>30</v>
      </c>
      <c r="C290" s="151" t="s">
        <v>1334</v>
      </c>
      <c r="D290" s="152">
        <v>1</v>
      </c>
      <c r="E290" s="155">
        <v>20000</v>
      </c>
      <c r="F290" s="154"/>
      <c r="G290" s="5"/>
    </row>
    <row r="291" spans="1:7" ht="23.25">
      <c r="A291" s="5" t="s">
        <v>1606</v>
      </c>
      <c r="B291" s="150" t="s">
        <v>181</v>
      </c>
      <c r="C291" s="151" t="s">
        <v>1333</v>
      </c>
      <c r="D291" s="152">
        <v>12</v>
      </c>
      <c r="E291" s="155">
        <v>2000</v>
      </c>
      <c r="F291" s="154"/>
      <c r="G291" s="5"/>
    </row>
    <row r="292" spans="1:7" ht="23.25">
      <c r="A292" s="5" t="s">
        <v>1606</v>
      </c>
      <c r="B292" s="150" t="s">
        <v>31</v>
      </c>
      <c r="C292" s="151" t="s">
        <v>1334</v>
      </c>
      <c r="D292" s="152">
        <v>1</v>
      </c>
      <c r="E292" s="155">
        <v>20000</v>
      </c>
      <c r="F292" s="154"/>
      <c r="G292" s="5"/>
    </row>
    <row r="293" spans="1:7" ht="23.25">
      <c r="A293" s="5" t="s">
        <v>1606</v>
      </c>
      <c r="B293" s="150" t="s">
        <v>182</v>
      </c>
      <c r="C293" s="151" t="s">
        <v>1333</v>
      </c>
      <c r="D293" s="152">
        <v>12</v>
      </c>
      <c r="E293" s="155">
        <v>2000</v>
      </c>
      <c r="F293" s="154"/>
      <c r="G293" s="5"/>
    </row>
    <row r="294" spans="1:7" ht="23.25">
      <c r="A294" s="5" t="s">
        <v>1606</v>
      </c>
      <c r="B294" s="150" t="s">
        <v>32</v>
      </c>
      <c r="C294" s="151" t="s">
        <v>1334</v>
      </c>
      <c r="D294" s="152">
        <v>1</v>
      </c>
      <c r="E294" s="155">
        <v>20000</v>
      </c>
      <c r="F294" s="154"/>
      <c r="G294" s="5"/>
    </row>
    <row r="295" spans="1:7" ht="23.25">
      <c r="A295" s="5" t="s">
        <v>1606</v>
      </c>
      <c r="B295" s="150" t="s">
        <v>183</v>
      </c>
      <c r="C295" s="151" t="s">
        <v>1333</v>
      </c>
      <c r="D295" s="152">
        <v>12</v>
      </c>
      <c r="E295" s="155">
        <v>2000</v>
      </c>
      <c r="F295" s="154"/>
      <c r="G295" s="5"/>
    </row>
    <row r="296" spans="1:7" ht="23.25">
      <c r="A296" s="5" t="s">
        <v>1606</v>
      </c>
      <c r="B296" s="150" t="s">
        <v>33</v>
      </c>
      <c r="C296" s="151" t="s">
        <v>1335</v>
      </c>
      <c r="D296" s="152">
        <v>1</v>
      </c>
      <c r="E296" s="155">
        <v>20000</v>
      </c>
      <c r="F296" s="154"/>
      <c r="G296" s="5"/>
    </row>
    <row r="297" spans="1:7" ht="23.25">
      <c r="A297" s="5" t="s">
        <v>1606</v>
      </c>
      <c r="B297" s="150" t="s">
        <v>184</v>
      </c>
      <c r="C297" s="151" t="s">
        <v>1336</v>
      </c>
      <c r="D297" s="147">
        <v>8</v>
      </c>
      <c r="E297" s="155">
        <v>2000</v>
      </c>
      <c r="F297" s="147"/>
    </row>
    <row r="298" spans="1:7" ht="23.25">
      <c r="B298" s="297" t="s">
        <v>634</v>
      </c>
      <c r="C298" s="298"/>
      <c r="D298" s="298"/>
      <c r="E298" s="299"/>
      <c r="F298" s="147"/>
    </row>
    <row r="299" spans="1:7" ht="23.25">
      <c r="A299" s="41" t="s">
        <v>1749</v>
      </c>
      <c r="B299" s="150" t="s">
        <v>158</v>
      </c>
      <c r="C299" s="151" t="s">
        <v>106</v>
      </c>
      <c r="D299" s="152">
        <v>1</v>
      </c>
      <c r="E299" s="181">
        <v>60000</v>
      </c>
      <c r="F299" s="154"/>
    </row>
    <row r="300" spans="1:7" ht="23.25">
      <c r="A300" s="41" t="s">
        <v>1746</v>
      </c>
      <c r="B300" s="150" t="s">
        <v>688</v>
      </c>
      <c r="C300" s="151" t="s">
        <v>108</v>
      </c>
      <c r="D300" s="152">
        <v>13</v>
      </c>
      <c r="E300" s="155">
        <v>100000</v>
      </c>
      <c r="F300" s="182"/>
      <c r="G300" s="5"/>
    </row>
    <row r="301" spans="1:7" ht="23.25">
      <c r="A301" s="5" t="s">
        <v>1606</v>
      </c>
      <c r="B301" s="150" t="s">
        <v>158</v>
      </c>
      <c r="C301" s="151" t="s">
        <v>635</v>
      </c>
      <c r="D301" s="152">
        <v>2</v>
      </c>
      <c r="E301" s="155">
        <v>200000</v>
      </c>
      <c r="F301" s="168"/>
      <c r="G301" s="5"/>
    </row>
    <row r="302" spans="1:7" ht="23.25">
      <c r="A302" s="41" t="s">
        <v>1748</v>
      </c>
      <c r="B302" s="150" t="s">
        <v>637</v>
      </c>
      <c r="C302" s="151" t="s">
        <v>380</v>
      </c>
      <c r="D302" s="152">
        <v>23</v>
      </c>
      <c r="E302" s="155">
        <v>0</v>
      </c>
      <c r="F302" s="182" t="s">
        <v>834</v>
      </c>
    </row>
    <row r="303" spans="1:7" ht="23.25">
      <c r="A303" s="41" t="s">
        <v>1737</v>
      </c>
      <c r="B303" s="150" t="s">
        <v>1272</v>
      </c>
      <c r="C303" s="151" t="s">
        <v>108</v>
      </c>
      <c r="D303" s="152">
        <v>10</v>
      </c>
      <c r="E303" s="155">
        <v>120000</v>
      </c>
      <c r="F303" s="182"/>
    </row>
    <row r="304" spans="1:7" ht="23.25">
      <c r="A304" s="5" t="s">
        <v>1606</v>
      </c>
      <c r="B304" s="150" t="s">
        <v>638</v>
      </c>
      <c r="C304" s="151" t="s">
        <v>380</v>
      </c>
      <c r="D304" s="152">
        <v>1</v>
      </c>
      <c r="E304" s="155">
        <v>80000</v>
      </c>
      <c r="F304" s="168"/>
      <c r="G304" s="5"/>
    </row>
    <row r="305" spans="1:7" ht="23.25">
      <c r="A305" s="41" t="s">
        <v>1747</v>
      </c>
      <c r="B305" s="150" t="s">
        <v>1238</v>
      </c>
      <c r="C305" s="151"/>
      <c r="D305" s="152">
        <v>8</v>
      </c>
      <c r="E305" s="155" t="s">
        <v>1124</v>
      </c>
      <c r="F305" s="183"/>
      <c r="G305" s="5"/>
    </row>
    <row r="306" spans="1:7" ht="23.25">
      <c r="B306" s="150" t="s">
        <v>1237</v>
      </c>
      <c r="C306" s="151"/>
      <c r="D306" s="152">
        <v>13</v>
      </c>
      <c r="E306" s="155" t="s">
        <v>1124</v>
      </c>
      <c r="F306" s="168"/>
      <c r="G306" s="5"/>
    </row>
    <row r="307" spans="1:7" ht="23.25">
      <c r="B307" s="297" t="s">
        <v>1986</v>
      </c>
      <c r="C307" s="298"/>
      <c r="D307" s="298"/>
      <c r="E307" s="299"/>
      <c r="F307" s="147"/>
      <c r="G307" s="5"/>
    </row>
    <row r="308" spans="1:7" ht="23.25">
      <c r="A308" s="296" t="s">
        <v>1737</v>
      </c>
      <c r="B308" s="150" t="s">
        <v>859</v>
      </c>
      <c r="C308" s="151" t="s">
        <v>1168</v>
      </c>
      <c r="D308" s="152">
        <v>9</v>
      </c>
      <c r="E308" s="155">
        <v>20000</v>
      </c>
      <c r="F308" s="154" t="s">
        <v>1169</v>
      </c>
      <c r="G308" s="5"/>
    </row>
    <row r="309" spans="1:7" ht="23.25">
      <c r="A309" s="296"/>
      <c r="B309" s="184" t="s">
        <v>858</v>
      </c>
      <c r="C309" s="185" t="s">
        <v>1170</v>
      </c>
      <c r="D309" s="186">
        <v>2</v>
      </c>
      <c r="E309" s="187">
        <v>40000</v>
      </c>
      <c r="F309" s="188"/>
      <c r="G309" s="91"/>
    </row>
    <row r="310" spans="1:7" ht="23.25">
      <c r="A310" s="296"/>
      <c r="B310" s="150" t="s">
        <v>860</v>
      </c>
      <c r="C310" s="151" t="s">
        <v>1171</v>
      </c>
      <c r="D310" s="152">
        <v>1</v>
      </c>
      <c r="E310" s="168">
        <v>40000</v>
      </c>
      <c r="F310" s="154"/>
      <c r="G310" s="5"/>
    </row>
    <row r="311" spans="1:7" ht="23.25">
      <c r="A311" s="5" t="s">
        <v>1606</v>
      </c>
      <c r="B311" s="150" t="s">
        <v>579</v>
      </c>
      <c r="C311" s="151" t="s">
        <v>690</v>
      </c>
      <c r="D311" s="152">
        <v>1</v>
      </c>
      <c r="E311" s="155">
        <v>70000</v>
      </c>
      <c r="F311" s="154"/>
    </row>
    <row r="312" spans="1:7" ht="23.25">
      <c r="A312" s="5" t="s">
        <v>1606</v>
      </c>
      <c r="B312" s="150" t="s">
        <v>580</v>
      </c>
      <c r="C312" s="151" t="s">
        <v>670</v>
      </c>
      <c r="D312" s="152">
        <v>2</v>
      </c>
      <c r="E312" s="155">
        <v>80000</v>
      </c>
      <c r="F312" s="154"/>
    </row>
    <row r="313" spans="1:7" ht="23.25">
      <c r="A313" s="5" t="s">
        <v>1606</v>
      </c>
      <c r="B313" s="150" t="s">
        <v>581</v>
      </c>
      <c r="C313" s="151" t="s">
        <v>671</v>
      </c>
      <c r="D313" s="152">
        <v>1</v>
      </c>
      <c r="E313" s="155">
        <v>70000</v>
      </c>
      <c r="F313" s="154"/>
    </row>
    <row r="314" spans="1:7" ht="23.25">
      <c r="A314" s="326" t="s">
        <v>1753</v>
      </c>
      <c r="B314" s="150" t="s">
        <v>1750</v>
      </c>
      <c r="C314" s="151"/>
      <c r="D314" s="152">
        <v>25</v>
      </c>
      <c r="E314" s="155"/>
      <c r="F314" s="154"/>
    </row>
    <row r="315" spans="1:7" ht="23.25">
      <c r="A315" s="326"/>
      <c r="B315" s="150" t="s">
        <v>1751</v>
      </c>
      <c r="C315" s="151"/>
      <c r="D315" s="152">
        <v>7</v>
      </c>
      <c r="E315" s="155"/>
      <c r="F315" s="154"/>
    </row>
    <row r="316" spans="1:7" ht="23.25">
      <c r="A316" s="326"/>
      <c r="B316" s="150" t="s">
        <v>1752</v>
      </c>
      <c r="C316" s="151"/>
      <c r="D316" s="152">
        <v>7</v>
      </c>
      <c r="E316" s="155"/>
      <c r="F316" s="154"/>
    </row>
    <row r="317" spans="1:7" ht="23.25">
      <c r="A317" s="41" t="s">
        <v>1737</v>
      </c>
      <c r="B317" s="150" t="s">
        <v>101</v>
      </c>
      <c r="C317" s="151" t="s">
        <v>879</v>
      </c>
      <c r="D317" s="152">
        <v>14</v>
      </c>
      <c r="E317" s="155">
        <v>20000</v>
      </c>
      <c r="F317" s="154" t="s">
        <v>1239</v>
      </c>
    </row>
    <row r="318" spans="1:7" ht="23.25">
      <c r="A318" s="41" t="s">
        <v>1126</v>
      </c>
      <c r="B318" s="150" t="s">
        <v>861</v>
      </c>
      <c r="C318" s="151" t="s">
        <v>1077</v>
      </c>
      <c r="D318" s="152">
        <v>20</v>
      </c>
      <c r="E318" s="155">
        <v>30000</v>
      </c>
      <c r="F318" s="154" t="s">
        <v>1183</v>
      </c>
      <c r="G318" s="75"/>
    </row>
    <row r="319" spans="1:7" ht="23.25">
      <c r="A319" s="41" t="s">
        <v>1753</v>
      </c>
      <c r="B319" s="163" t="s">
        <v>1754</v>
      </c>
      <c r="C319" s="164"/>
      <c r="D319" s="165">
        <v>4</v>
      </c>
      <c r="E319" s="272"/>
      <c r="F319" s="154"/>
      <c r="G319" s="273"/>
    </row>
    <row r="320" spans="1:7" ht="23.25">
      <c r="B320" s="297" t="s">
        <v>733</v>
      </c>
      <c r="C320" s="298"/>
      <c r="D320" s="298"/>
      <c r="E320" s="299"/>
      <c r="F320" s="147"/>
      <c r="G320" s="5"/>
    </row>
    <row r="321" spans="1:7" ht="23.25">
      <c r="A321" s="115" t="s">
        <v>1638</v>
      </c>
      <c r="B321" s="245" t="s">
        <v>194</v>
      </c>
      <c r="C321" s="151"/>
      <c r="D321" s="152">
        <v>2</v>
      </c>
      <c r="E321" s="153">
        <v>10000</v>
      </c>
      <c r="F321" s="154"/>
      <c r="G321" s="5"/>
    </row>
    <row r="322" spans="1:7" ht="23.25">
      <c r="A322" s="115" t="s">
        <v>1638</v>
      </c>
      <c r="B322" s="245" t="s">
        <v>195</v>
      </c>
      <c r="C322" s="151"/>
      <c r="D322" s="152">
        <v>3</v>
      </c>
      <c r="E322" s="153">
        <v>10000</v>
      </c>
      <c r="F322" s="154"/>
      <c r="G322" s="5"/>
    </row>
    <row r="323" spans="1:7" ht="23.25">
      <c r="A323" s="327" t="s">
        <v>1606</v>
      </c>
      <c r="B323" s="150" t="s">
        <v>1755</v>
      </c>
      <c r="C323" s="151"/>
      <c r="D323" s="152">
        <v>1</v>
      </c>
      <c r="E323" s="153"/>
      <c r="F323" s="154"/>
      <c r="G323" s="5"/>
    </row>
    <row r="324" spans="1:7" ht="23.25">
      <c r="A324" s="327"/>
      <c r="B324" s="150" t="s">
        <v>1756</v>
      </c>
      <c r="C324" s="151"/>
      <c r="D324" s="152">
        <v>1</v>
      </c>
      <c r="E324" s="153"/>
      <c r="F324" s="154"/>
      <c r="G324" s="5"/>
    </row>
    <row r="325" spans="1:7" ht="23.25">
      <c r="A325" s="327"/>
      <c r="B325" s="150" t="s">
        <v>1757</v>
      </c>
      <c r="C325" s="151"/>
      <c r="D325" s="152">
        <v>1</v>
      </c>
      <c r="E325" s="153"/>
      <c r="F325" s="154"/>
      <c r="G325" s="5"/>
    </row>
    <row r="326" spans="1:7" ht="23.25">
      <c r="A326" s="327" t="s">
        <v>1606</v>
      </c>
      <c r="B326" s="150" t="s">
        <v>1759</v>
      </c>
      <c r="C326" s="151"/>
      <c r="D326" s="152">
        <v>1</v>
      </c>
      <c r="E326" s="153"/>
      <c r="F326" s="154"/>
      <c r="G326" s="5"/>
    </row>
    <row r="327" spans="1:7" ht="23.25">
      <c r="A327" s="327"/>
      <c r="B327" s="150" t="s">
        <v>1760</v>
      </c>
      <c r="C327" s="151"/>
      <c r="D327" s="152">
        <v>1</v>
      </c>
      <c r="E327" s="153"/>
      <c r="F327" s="154"/>
      <c r="G327" s="5"/>
    </row>
    <row r="328" spans="1:7" ht="23.25">
      <c r="A328" s="5" t="s">
        <v>1606</v>
      </c>
      <c r="B328" s="150" t="s">
        <v>1758</v>
      </c>
      <c r="C328" s="151"/>
      <c r="D328" s="152">
        <v>1</v>
      </c>
      <c r="E328" s="153"/>
      <c r="F328" s="154"/>
      <c r="G328" s="5"/>
    </row>
    <row r="329" spans="1:7" ht="23.25">
      <c r="A329" s="5" t="s">
        <v>1606</v>
      </c>
      <c r="B329" s="150" t="s">
        <v>1761</v>
      </c>
      <c r="C329" s="151"/>
      <c r="D329" s="152">
        <v>3</v>
      </c>
      <c r="E329" s="153"/>
      <c r="F329" s="154"/>
      <c r="G329" s="5"/>
    </row>
    <row r="330" spans="1:7" ht="23.25">
      <c r="A330" s="326" t="s">
        <v>1737</v>
      </c>
      <c r="B330" s="150" t="s">
        <v>1762</v>
      </c>
      <c r="C330" s="151" t="s">
        <v>999</v>
      </c>
      <c r="D330" s="152">
        <v>6</v>
      </c>
      <c r="E330" s="153"/>
      <c r="F330" s="154"/>
      <c r="G330" s="5"/>
    </row>
    <row r="331" spans="1:7" ht="23.25">
      <c r="A331" s="326"/>
      <c r="B331" s="150" t="s">
        <v>1764</v>
      </c>
      <c r="C331" s="151" t="s">
        <v>1763</v>
      </c>
      <c r="D331" s="152">
        <v>2</v>
      </c>
      <c r="E331" s="153"/>
      <c r="F331" s="154"/>
      <c r="G331" s="5"/>
    </row>
    <row r="332" spans="1:7" ht="23.25">
      <c r="A332" s="41" t="s">
        <v>1766</v>
      </c>
      <c r="B332" s="150" t="s">
        <v>1765</v>
      </c>
      <c r="C332" s="151" t="s">
        <v>1337</v>
      </c>
      <c r="D332" s="152">
        <v>6</v>
      </c>
      <c r="E332" s="150"/>
      <c r="F332" s="147"/>
      <c r="G332" s="5"/>
    </row>
    <row r="333" spans="1:7" ht="23.25">
      <c r="A333" s="5" t="s">
        <v>1606</v>
      </c>
      <c r="B333" s="150" t="s">
        <v>731</v>
      </c>
      <c r="C333" s="151" t="s">
        <v>1338</v>
      </c>
      <c r="D333" s="152">
        <v>2</v>
      </c>
      <c r="E333" s="155">
        <v>15000</v>
      </c>
      <c r="F333" s="154"/>
      <c r="G333" s="5"/>
    </row>
    <row r="334" spans="1:7" ht="23.25">
      <c r="A334" s="5" t="s">
        <v>1606</v>
      </c>
      <c r="B334" s="150" t="s">
        <v>732</v>
      </c>
      <c r="C334" s="151" t="s">
        <v>1339</v>
      </c>
      <c r="D334" s="152">
        <v>1</v>
      </c>
      <c r="E334" s="155">
        <v>5000</v>
      </c>
      <c r="F334" s="154"/>
      <c r="G334" s="5"/>
    </row>
    <row r="335" spans="1:7" ht="23.25">
      <c r="A335" s="41" t="s">
        <v>524</v>
      </c>
      <c r="B335" s="150" t="s">
        <v>1343</v>
      </c>
      <c r="C335" s="151" t="s">
        <v>1344</v>
      </c>
      <c r="D335" s="152">
        <v>4</v>
      </c>
      <c r="E335" s="155">
        <v>10000</v>
      </c>
      <c r="F335" s="154"/>
      <c r="G335" s="5"/>
    </row>
    <row r="336" spans="1:7" ht="23.25">
      <c r="A336" s="41" t="s">
        <v>524</v>
      </c>
      <c r="B336" s="150" t="s">
        <v>1340</v>
      </c>
      <c r="C336" s="151" t="s">
        <v>1345</v>
      </c>
      <c r="D336" s="152">
        <v>4</v>
      </c>
      <c r="E336" s="155">
        <v>10000</v>
      </c>
      <c r="F336" s="154"/>
      <c r="G336" s="5"/>
    </row>
    <row r="337" spans="1:7" ht="23.25">
      <c r="A337" s="5" t="s">
        <v>1606</v>
      </c>
      <c r="B337" s="150" t="s">
        <v>1341</v>
      </c>
      <c r="C337" s="151" t="s">
        <v>1346</v>
      </c>
      <c r="D337" s="152">
        <v>1</v>
      </c>
      <c r="E337" s="155">
        <v>10000</v>
      </c>
      <c r="F337" s="154"/>
      <c r="G337" s="5"/>
    </row>
    <row r="338" spans="1:7" ht="23.25">
      <c r="A338" s="5" t="s">
        <v>1606</v>
      </c>
      <c r="B338" s="150" t="s">
        <v>1342</v>
      </c>
      <c r="C338" s="151" t="s">
        <v>1347</v>
      </c>
      <c r="D338" s="152">
        <v>1</v>
      </c>
      <c r="E338" s="155">
        <v>5000</v>
      </c>
      <c r="F338" s="154"/>
      <c r="G338" s="5"/>
    </row>
    <row r="339" spans="1:7" ht="23.25">
      <c r="A339" s="63" t="s">
        <v>1646</v>
      </c>
      <c r="B339" s="150" t="s">
        <v>1767</v>
      </c>
      <c r="C339" s="151" t="s">
        <v>1301</v>
      </c>
      <c r="D339" s="152">
        <v>4</v>
      </c>
      <c r="E339" s="147" t="s">
        <v>975</v>
      </c>
      <c r="F339" s="154"/>
      <c r="G339" s="5"/>
    </row>
    <row r="340" spans="1:7" ht="23.25">
      <c r="B340" s="297" t="s">
        <v>1243</v>
      </c>
      <c r="C340" s="298"/>
      <c r="D340" s="298"/>
      <c r="E340" s="299"/>
      <c r="F340" s="154"/>
      <c r="G340" s="5"/>
    </row>
    <row r="341" spans="1:7" ht="23.25">
      <c r="A341" s="5" t="s">
        <v>1606</v>
      </c>
      <c r="B341" s="163" t="s">
        <v>1283</v>
      </c>
      <c r="C341" s="164" t="s">
        <v>1281</v>
      </c>
      <c r="D341" s="165">
        <v>2</v>
      </c>
      <c r="E341" s="189">
        <v>30000</v>
      </c>
      <c r="F341" s="154"/>
      <c r="G341" s="5"/>
    </row>
    <row r="342" spans="1:7" ht="23.25">
      <c r="A342" s="5" t="s">
        <v>1606</v>
      </c>
      <c r="B342" s="163" t="s">
        <v>1284</v>
      </c>
      <c r="C342" s="164" t="s">
        <v>1282</v>
      </c>
      <c r="D342" s="165">
        <v>2</v>
      </c>
      <c r="E342" s="189">
        <v>30000</v>
      </c>
      <c r="F342" s="154"/>
      <c r="G342" s="5"/>
    </row>
    <row r="343" spans="1:7" ht="23.25">
      <c r="A343" s="5" t="s">
        <v>1606</v>
      </c>
      <c r="B343" s="150" t="s">
        <v>1285</v>
      </c>
      <c r="C343" s="150" t="s">
        <v>1278</v>
      </c>
      <c r="D343" s="152">
        <v>6</v>
      </c>
      <c r="E343" s="175">
        <v>30000</v>
      </c>
      <c r="F343" s="154"/>
      <c r="G343" s="5"/>
    </row>
    <row r="344" spans="1:7" ht="23.25">
      <c r="A344" s="5" t="s">
        <v>1606</v>
      </c>
      <c r="B344" s="150" t="s">
        <v>1279</v>
      </c>
      <c r="C344" s="150" t="s">
        <v>1280</v>
      </c>
      <c r="D344" s="152">
        <v>2</v>
      </c>
      <c r="E344" s="175">
        <v>40000</v>
      </c>
      <c r="F344" s="154"/>
      <c r="G344" s="5"/>
    </row>
    <row r="345" spans="1:7" ht="23.25">
      <c r="A345" s="5" t="s">
        <v>1606</v>
      </c>
      <c r="B345" s="150" t="s">
        <v>495</v>
      </c>
      <c r="C345" s="190" t="s">
        <v>497</v>
      </c>
      <c r="D345" s="152">
        <v>5</v>
      </c>
      <c r="E345" s="153">
        <v>25000</v>
      </c>
      <c r="F345" s="154"/>
      <c r="G345" s="5"/>
    </row>
    <row r="346" spans="1:7" ht="23.25">
      <c r="A346" s="5" t="s">
        <v>1606</v>
      </c>
      <c r="B346" s="150" t="s">
        <v>494</v>
      </c>
      <c r="C346" s="190" t="s">
        <v>496</v>
      </c>
      <c r="D346" s="152">
        <v>6</v>
      </c>
      <c r="E346" s="153">
        <v>25000</v>
      </c>
      <c r="F346" s="154"/>
      <c r="G346" s="5"/>
    </row>
    <row r="347" spans="1:7" ht="23.25">
      <c r="A347" s="5" t="s">
        <v>1606</v>
      </c>
      <c r="B347" s="150" t="s">
        <v>1778</v>
      </c>
      <c r="C347" s="166"/>
      <c r="D347" s="152">
        <v>7</v>
      </c>
      <c r="E347" s="153">
        <v>30000</v>
      </c>
      <c r="F347" s="154"/>
      <c r="G347" s="5"/>
    </row>
    <row r="348" spans="1:7" ht="23.25">
      <c r="A348" s="5" t="s">
        <v>1606</v>
      </c>
      <c r="B348" s="150" t="s">
        <v>1032</v>
      </c>
      <c r="C348" s="166"/>
      <c r="D348" s="152">
        <v>1</v>
      </c>
      <c r="E348" s="153">
        <v>30000</v>
      </c>
      <c r="F348" s="154"/>
      <c r="G348" s="5"/>
    </row>
    <row r="349" spans="1:7" ht="23.25">
      <c r="A349" s="327" t="s">
        <v>1606</v>
      </c>
      <c r="B349" s="150" t="s">
        <v>1768</v>
      </c>
      <c r="C349" s="150" t="s">
        <v>1275</v>
      </c>
      <c r="D349" s="152">
        <v>12</v>
      </c>
      <c r="E349" s="175">
        <v>40000</v>
      </c>
      <c r="F349" s="154"/>
      <c r="G349" s="5"/>
    </row>
    <row r="350" spans="1:7" ht="23.25">
      <c r="A350" s="327"/>
      <c r="B350" s="150" t="s">
        <v>1273</v>
      </c>
      <c r="C350" s="150" t="s">
        <v>1276</v>
      </c>
      <c r="D350" s="152">
        <v>12</v>
      </c>
      <c r="E350" s="175">
        <v>14000</v>
      </c>
      <c r="F350" s="154"/>
      <c r="G350" s="5"/>
    </row>
    <row r="351" spans="1:7" ht="23.25">
      <c r="A351" s="327"/>
      <c r="B351" s="150" t="s">
        <v>1274</v>
      </c>
      <c r="C351" s="150" t="s">
        <v>1277</v>
      </c>
      <c r="D351" s="152">
        <v>12</v>
      </c>
      <c r="E351" s="175">
        <v>14000</v>
      </c>
      <c r="F351" s="154"/>
      <c r="G351" s="5"/>
    </row>
    <row r="352" spans="1:7" ht="23.25">
      <c r="A352" s="327" t="s">
        <v>1606</v>
      </c>
      <c r="B352" s="150" t="s">
        <v>1769</v>
      </c>
      <c r="C352" s="151" t="s">
        <v>1770</v>
      </c>
      <c r="D352" s="152">
        <v>20</v>
      </c>
      <c r="E352" s="175">
        <v>14000</v>
      </c>
      <c r="F352" s="154"/>
      <c r="G352" s="5"/>
    </row>
    <row r="353" spans="1:7" ht="23.25">
      <c r="A353" s="327"/>
      <c r="B353" s="150" t="s">
        <v>1771</v>
      </c>
      <c r="C353" s="151" t="s">
        <v>1773</v>
      </c>
      <c r="D353" s="152">
        <v>20</v>
      </c>
      <c r="E353" s="175">
        <v>14000</v>
      </c>
      <c r="F353" s="154"/>
      <c r="G353" s="5"/>
    </row>
    <row r="354" spans="1:7" ht="23.25">
      <c r="A354" s="327"/>
      <c r="B354" s="150" t="s">
        <v>1772</v>
      </c>
      <c r="C354" s="151" t="s">
        <v>1774</v>
      </c>
      <c r="D354" s="152">
        <v>20</v>
      </c>
      <c r="E354" s="175">
        <v>14000</v>
      </c>
      <c r="F354" s="154"/>
      <c r="G354" s="5"/>
    </row>
    <row r="355" spans="1:7" ht="23.25">
      <c r="A355" s="327" t="s">
        <v>1606</v>
      </c>
      <c r="B355" s="150" t="s">
        <v>1424</v>
      </c>
      <c r="C355" s="151" t="s">
        <v>1394</v>
      </c>
      <c r="D355" s="152">
        <v>1</v>
      </c>
      <c r="E355" s="175">
        <v>20000</v>
      </c>
      <c r="F355" s="154" t="s">
        <v>1395</v>
      </c>
      <c r="G355" s="5"/>
    </row>
    <row r="356" spans="1:7" ht="23.25">
      <c r="A356" s="327"/>
      <c r="B356" s="150" t="s">
        <v>1425</v>
      </c>
      <c r="C356" s="151" t="s">
        <v>1396</v>
      </c>
      <c r="D356" s="152">
        <v>7</v>
      </c>
      <c r="E356" s="175">
        <v>20000</v>
      </c>
      <c r="F356" s="154" t="s">
        <v>1397</v>
      </c>
      <c r="G356" s="5"/>
    </row>
    <row r="357" spans="1:7" ht="23.25">
      <c r="A357" s="327"/>
      <c r="B357" s="150" t="s">
        <v>1398</v>
      </c>
      <c r="C357" s="151" t="s">
        <v>1399</v>
      </c>
      <c r="D357" s="152">
        <v>3</v>
      </c>
      <c r="E357" s="175">
        <v>15000</v>
      </c>
      <c r="F357" s="154" t="s">
        <v>1400</v>
      </c>
      <c r="G357" s="5"/>
    </row>
    <row r="358" spans="1:7" ht="23.25">
      <c r="A358" s="5" t="s">
        <v>1606</v>
      </c>
      <c r="B358" s="150" t="s">
        <v>1775</v>
      </c>
      <c r="C358" s="151" t="s">
        <v>1389</v>
      </c>
      <c r="D358" s="152">
        <v>4</v>
      </c>
      <c r="E358" s="175">
        <v>20000</v>
      </c>
      <c r="F358" s="154"/>
      <c r="G358" s="5"/>
    </row>
    <row r="359" spans="1:7" ht="23.25">
      <c r="A359" s="41" t="s">
        <v>1854</v>
      </c>
      <c r="B359" s="150" t="s">
        <v>1852</v>
      </c>
      <c r="C359" s="151" t="s">
        <v>1856</v>
      </c>
      <c r="D359" s="152">
        <v>10</v>
      </c>
      <c r="E359" s="175"/>
      <c r="F359" s="154"/>
      <c r="G359" s="5"/>
    </row>
    <row r="360" spans="1:7" ht="23.25">
      <c r="A360" s="41" t="s">
        <v>1854</v>
      </c>
      <c r="B360" s="150" t="s">
        <v>1853</v>
      </c>
      <c r="C360" s="151" t="s">
        <v>1770</v>
      </c>
      <c r="D360" s="152">
        <v>8</v>
      </c>
      <c r="E360" s="175"/>
      <c r="F360" s="154"/>
      <c r="G360" s="5"/>
    </row>
    <row r="361" spans="1:7" ht="23.25">
      <c r="A361" s="41" t="s">
        <v>1854</v>
      </c>
      <c r="B361" s="150" t="s">
        <v>1855</v>
      </c>
      <c r="C361" s="151" t="s">
        <v>1857</v>
      </c>
      <c r="D361" s="152">
        <v>1</v>
      </c>
      <c r="E361" s="175"/>
      <c r="F361" s="154"/>
      <c r="G361" s="5"/>
    </row>
    <row r="362" spans="1:7" ht="23.25">
      <c r="A362" s="41" t="s">
        <v>1859</v>
      </c>
      <c r="B362" s="150" t="s">
        <v>1858</v>
      </c>
      <c r="C362" s="151"/>
      <c r="D362" s="152">
        <v>13</v>
      </c>
      <c r="E362" s="175"/>
      <c r="F362" s="154"/>
      <c r="G362" s="5"/>
    </row>
    <row r="363" spans="1:7" ht="23.25">
      <c r="A363" s="5" t="s">
        <v>1606</v>
      </c>
      <c r="B363" s="150" t="s">
        <v>1388</v>
      </c>
      <c r="C363" s="151" t="s">
        <v>1390</v>
      </c>
      <c r="D363" s="152">
        <v>3</v>
      </c>
      <c r="E363" s="175">
        <v>20000</v>
      </c>
      <c r="F363" s="154"/>
      <c r="G363" s="5"/>
    </row>
    <row r="364" spans="1:7" s="57" customFormat="1" ht="23.25">
      <c r="A364" s="5" t="s">
        <v>1606</v>
      </c>
      <c r="B364" s="150" t="s">
        <v>1777</v>
      </c>
      <c r="C364" s="151" t="s">
        <v>1776</v>
      </c>
      <c r="D364" s="152">
        <v>6</v>
      </c>
      <c r="E364" s="175">
        <v>25000</v>
      </c>
      <c r="F364" s="154" t="s">
        <v>1387</v>
      </c>
    </row>
    <row r="365" spans="1:7" ht="23.25">
      <c r="A365" s="5" t="s">
        <v>1606</v>
      </c>
      <c r="B365" s="150" t="s">
        <v>1270</v>
      </c>
      <c r="C365" s="150" t="s">
        <v>1348</v>
      </c>
      <c r="D365" s="152">
        <v>12</v>
      </c>
      <c r="E365" s="155">
        <v>2000</v>
      </c>
      <c r="F365" s="154"/>
      <c r="G365" s="5"/>
    </row>
    <row r="366" spans="1:7" ht="23.25">
      <c r="A366" s="5" t="s">
        <v>1606</v>
      </c>
      <c r="B366" s="150" t="s">
        <v>1779</v>
      </c>
      <c r="C366" s="150"/>
      <c r="D366" s="152">
        <v>7</v>
      </c>
      <c r="E366" s="155">
        <v>3000</v>
      </c>
      <c r="F366" s="154"/>
      <c r="G366" s="5"/>
    </row>
    <row r="367" spans="1:7" ht="23.25">
      <c r="B367" s="297" t="s">
        <v>1246</v>
      </c>
      <c r="C367" s="298"/>
      <c r="D367" s="298"/>
      <c r="E367" s="299"/>
      <c r="F367" s="159"/>
      <c r="G367" s="5"/>
    </row>
    <row r="368" spans="1:7" ht="23.25">
      <c r="A368" s="5" t="s">
        <v>1606</v>
      </c>
      <c r="B368" s="150" t="s">
        <v>991</v>
      </c>
      <c r="C368" s="151" t="s">
        <v>1361</v>
      </c>
      <c r="D368" s="152">
        <v>2</v>
      </c>
      <c r="E368" s="153">
        <v>5000</v>
      </c>
      <c r="F368" s="167"/>
      <c r="G368" s="5"/>
    </row>
    <row r="369" spans="1:7" ht="23.25">
      <c r="A369" s="5" t="s">
        <v>1606</v>
      </c>
      <c r="B369" s="150" t="s">
        <v>85</v>
      </c>
      <c r="C369" s="151" t="s">
        <v>1362</v>
      </c>
      <c r="D369" s="152">
        <v>1</v>
      </c>
      <c r="E369" s="153">
        <v>8000</v>
      </c>
      <c r="F369" s="167"/>
      <c r="G369" s="5"/>
    </row>
    <row r="370" spans="1:7" ht="23.25">
      <c r="A370" s="5" t="s">
        <v>1125</v>
      </c>
      <c r="B370" s="150" t="s">
        <v>86</v>
      </c>
      <c r="C370" s="151" t="s">
        <v>1364</v>
      </c>
      <c r="D370" s="152">
        <v>2</v>
      </c>
      <c r="E370" s="153">
        <v>5000</v>
      </c>
      <c r="F370" s="167"/>
      <c r="G370" s="5"/>
    </row>
    <row r="371" spans="1:7" ht="23.25">
      <c r="A371" s="41" t="s">
        <v>1766</v>
      </c>
      <c r="B371" s="150" t="s">
        <v>1820</v>
      </c>
      <c r="C371" s="150" t="s">
        <v>1821</v>
      </c>
      <c r="D371" s="152">
        <v>1</v>
      </c>
      <c r="E371" s="155"/>
      <c r="F371" s="154"/>
      <c r="G371" s="5"/>
    </row>
    <row r="372" spans="1:7" ht="23.25">
      <c r="A372" s="41" t="s">
        <v>1766</v>
      </c>
      <c r="B372" s="150" t="s">
        <v>1820</v>
      </c>
      <c r="C372" s="150" t="s">
        <v>1822</v>
      </c>
      <c r="D372" s="152">
        <v>1</v>
      </c>
      <c r="E372" s="155"/>
      <c r="F372" s="154"/>
      <c r="G372" s="5"/>
    </row>
    <row r="373" spans="1:7" ht="23.25">
      <c r="A373" s="41" t="s">
        <v>1766</v>
      </c>
      <c r="B373" s="150" t="s">
        <v>1820</v>
      </c>
      <c r="C373" s="150" t="s">
        <v>1823</v>
      </c>
      <c r="D373" s="152">
        <v>1</v>
      </c>
      <c r="E373" s="155"/>
      <c r="F373" s="154"/>
      <c r="G373" s="5"/>
    </row>
    <row r="374" spans="1:7" ht="23.25">
      <c r="A374" s="41" t="s">
        <v>1766</v>
      </c>
      <c r="B374" s="150" t="s">
        <v>1824</v>
      </c>
      <c r="C374" s="150" t="s">
        <v>1825</v>
      </c>
      <c r="D374" s="152">
        <v>2</v>
      </c>
      <c r="E374" s="155"/>
      <c r="F374" s="154"/>
      <c r="G374" s="5"/>
    </row>
    <row r="375" spans="1:7" ht="23.25">
      <c r="A375" s="41" t="s">
        <v>1766</v>
      </c>
      <c r="B375" s="150" t="s">
        <v>1826</v>
      </c>
      <c r="C375" s="150" t="s">
        <v>1827</v>
      </c>
      <c r="D375" s="152">
        <v>2</v>
      </c>
      <c r="E375" s="155"/>
      <c r="F375" s="154"/>
      <c r="G375" s="5"/>
    </row>
    <row r="376" spans="1:7" ht="23.25">
      <c r="A376" s="5" t="s">
        <v>1125</v>
      </c>
      <c r="B376" s="150" t="s">
        <v>1851</v>
      </c>
      <c r="C376" s="151" t="s">
        <v>729</v>
      </c>
      <c r="D376" s="152">
        <v>30</v>
      </c>
      <c r="E376" s="157">
        <v>5000</v>
      </c>
      <c r="F376" s="161">
        <v>16100</v>
      </c>
      <c r="G376" s="5"/>
    </row>
    <row r="377" spans="1:7" ht="23.25">
      <c r="B377" s="150" t="s">
        <v>1850</v>
      </c>
      <c r="C377" s="151" t="s">
        <v>1849</v>
      </c>
      <c r="D377" s="152">
        <v>6</v>
      </c>
      <c r="E377" s="157">
        <v>30000</v>
      </c>
      <c r="F377" s="161"/>
      <c r="G377" s="5"/>
    </row>
    <row r="378" spans="1:7" ht="23.25">
      <c r="A378" s="5" t="s">
        <v>1606</v>
      </c>
      <c r="B378" s="150" t="s">
        <v>1365</v>
      </c>
      <c r="C378" s="151" t="s">
        <v>1463</v>
      </c>
      <c r="D378" s="152">
        <v>5</v>
      </c>
      <c r="E378" s="153">
        <v>15000</v>
      </c>
      <c r="F378" s="161">
        <v>50000</v>
      </c>
      <c r="G378" s="5"/>
    </row>
    <row r="379" spans="1:7" ht="23.25">
      <c r="A379" s="41" t="s">
        <v>524</v>
      </c>
      <c r="B379" s="150" t="s">
        <v>994</v>
      </c>
      <c r="C379" s="151" t="s">
        <v>1462</v>
      </c>
      <c r="D379" s="152">
        <v>4</v>
      </c>
      <c r="E379" s="153">
        <v>15000</v>
      </c>
      <c r="F379" s="161">
        <v>50000</v>
      </c>
      <c r="G379" s="5"/>
    </row>
    <row r="380" spans="1:7" ht="23.25">
      <c r="A380" s="41" t="s">
        <v>1780</v>
      </c>
      <c r="B380" s="150" t="s">
        <v>995</v>
      </c>
      <c r="C380" s="151" t="s">
        <v>1464</v>
      </c>
      <c r="D380" s="152">
        <v>3</v>
      </c>
      <c r="E380" s="153">
        <v>15000</v>
      </c>
      <c r="F380" s="161">
        <v>50000</v>
      </c>
      <c r="G380" s="5"/>
    </row>
    <row r="381" spans="1:7" ht="23.25">
      <c r="A381" s="274" t="s">
        <v>1788</v>
      </c>
      <c r="B381" s="275" t="s">
        <v>997</v>
      </c>
      <c r="C381" s="151" t="s">
        <v>996</v>
      </c>
      <c r="D381" s="152">
        <v>1</v>
      </c>
      <c r="E381" s="153">
        <v>15000</v>
      </c>
      <c r="F381" s="161">
        <v>10000</v>
      </c>
      <c r="G381" s="5"/>
    </row>
    <row r="382" spans="1:7" ht="23.25">
      <c r="A382" s="274" t="s">
        <v>1788</v>
      </c>
      <c r="B382" s="275" t="s">
        <v>998</v>
      </c>
      <c r="C382" s="151" t="s">
        <v>999</v>
      </c>
      <c r="D382" s="152">
        <v>1</v>
      </c>
      <c r="E382" s="153">
        <v>15000</v>
      </c>
      <c r="F382" s="161">
        <v>10000</v>
      </c>
      <c r="G382" s="5"/>
    </row>
    <row r="383" spans="1:7" ht="23.25">
      <c r="B383" s="150" t="s">
        <v>1782</v>
      </c>
      <c r="C383" s="150" t="s">
        <v>1781</v>
      </c>
      <c r="D383" s="152">
        <v>19</v>
      </c>
      <c r="E383" s="155"/>
      <c r="F383" s="154"/>
      <c r="G383" s="5"/>
    </row>
    <row r="384" spans="1:7" ht="23.25">
      <c r="B384" s="150" t="s">
        <v>1783</v>
      </c>
      <c r="C384" s="150" t="s">
        <v>1784</v>
      </c>
      <c r="D384" s="152">
        <v>19</v>
      </c>
      <c r="E384" s="155"/>
      <c r="F384" s="154"/>
      <c r="G384" s="5"/>
    </row>
    <row r="385" spans="2:7" ht="23.25">
      <c r="B385" s="150" t="s">
        <v>1783</v>
      </c>
      <c r="C385" s="150" t="s">
        <v>1786</v>
      </c>
      <c r="D385" s="152">
        <v>14</v>
      </c>
      <c r="E385" s="155"/>
      <c r="F385" s="154"/>
      <c r="G385" s="5"/>
    </row>
    <row r="386" spans="2:7" ht="23.25">
      <c r="B386" s="150" t="s">
        <v>1783</v>
      </c>
      <c r="C386" s="150" t="s">
        <v>1787</v>
      </c>
      <c r="D386" s="152">
        <v>8</v>
      </c>
      <c r="E386" s="155"/>
      <c r="F386" s="154"/>
      <c r="G386" s="5"/>
    </row>
    <row r="387" spans="2:7" ht="23.25">
      <c r="B387" s="150" t="s">
        <v>1783</v>
      </c>
      <c r="C387" s="150" t="s">
        <v>1789</v>
      </c>
      <c r="D387" s="152">
        <v>24</v>
      </c>
      <c r="E387" s="155"/>
      <c r="F387" s="154"/>
      <c r="G387" s="5"/>
    </row>
    <row r="388" spans="2:7" ht="23.25">
      <c r="B388" s="150" t="s">
        <v>1783</v>
      </c>
      <c r="C388" s="150" t="s">
        <v>1790</v>
      </c>
      <c r="D388" s="152">
        <v>21</v>
      </c>
      <c r="E388" s="155"/>
      <c r="F388" s="154"/>
      <c r="G388" s="5"/>
    </row>
    <row r="389" spans="2:7" ht="23.25">
      <c r="B389" s="150" t="s">
        <v>1783</v>
      </c>
      <c r="C389" s="150" t="s">
        <v>1791</v>
      </c>
      <c r="D389" s="152">
        <v>3</v>
      </c>
      <c r="E389" s="155"/>
      <c r="F389" s="154"/>
      <c r="G389" s="5"/>
    </row>
    <row r="390" spans="2:7" ht="23.25">
      <c r="B390" s="150" t="s">
        <v>1783</v>
      </c>
      <c r="C390" s="150" t="s">
        <v>1792</v>
      </c>
      <c r="D390" s="152">
        <v>3</v>
      </c>
      <c r="E390" s="155"/>
      <c r="F390" s="154"/>
      <c r="G390" s="5"/>
    </row>
    <row r="391" spans="2:7" ht="23.25">
      <c r="B391" s="150" t="s">
        <v>1783</v>
      </c>
      <c r="C391" s="150" t="s">
        <v>1794</v>
      </c>
      <c r="D391" s="152">
        <v>11</v>
      </c>
      <c r="E391" s="155"/>
      <c r="F391" s="154"/>
      <c r="G391" s="5"/>
    </row>
    <row r="392" spans="2:7" ht="23.25">
      <c r="B392" s="150" t="s">
        <v>1783</v>
      </c>
      <c r="C392" s="150" t="s">
        <v>1793</v>
      </c>
      <c r="D392" s="152">
        <v>13</v>
      </c>
      <c r="E392" s="155"/>
      <c r="F392" s="154"/>
      <c r="G392" s="5"/>
    </row>
    <row r="393" spans="2:7" ht="23.25">
      <c r="B393" s="150" t="s">
        <v>1802</v>
      </c>
      <c r="C393" s="150" t="s">
        <v>1795</v>
      </c>
      <c r="D393" s="152">
        <v>3</v>
      </c>
      <c r="E393" s="155"/>
      <c r="F393" s="154"/>
      <c r="G393" s="5"/>
    </row>
    <row r="394" spans="2:7" ht="23.25">
      <c r="B394" s="150" t="s">
        <v>1783</v>
      </c>
      <c r="C394" s="150" t="s">
        <v>1796</v>
      </c>
      <c r="D394" s="152">
        <v>1</v>
      </c>
      <c r="E394" s="155"/>
      <c r="F394" s="154"/>
      <c r="G394" s="5"/>
    </row>
    <row r="395" spans="2:7" ht="23.25">
      <c r="B395" s="150" t="s">
        <v>1783</v>
      </c>
      <c r="C395" s="150" t="s">
        <v>1797</v>
      </c>
      <c r="D395" s="152">
        <v>1</v>
      </c>
      <c r="E395" s="155"/>
      <c r="F395" s="154"/>
      <c r="G395" s="5"/>
    </row>
    <row r="396" spans="2:7" ht="23.25">
      <c r="B396" s="150" t="s">
        <v>1783</v>
      </c>
      <c r="C396" s="150" t="s">
        <v>1798</v>
      </c>
      <c r="D396" s="152">
        <v>3</v>
      </c>
      <c r="E396" s="155"/>
      <c r="F396" s="154"/>
      <c r="G396" s="5"/>
    </row>
    <row r="397" spans="2:7" ht="23.25">
      <c r="B397" s="150" t="s">
        <v>1785</v>
      </c>
      <c r="C397" s="150" t="s">
        <v>1799</v>
      </c>
      <c r="D397" s="152">
        <v>1</v>
      </c>
      <c r="E397" s="155"/>
      <c r="F397" s="154"/>
      <c r="G397" s="5"/>
    </row>
    <row r="398" spans="2:7" ht="23.25">
      <c r="B398" s="150" t="s">
        <v>1785</v>
      </c>
      <c r="C398" s="150" t="s">
        <v>1800</v>
      </c>
      <c r="D398" s="152">
        <v>1</v>
      </c>
      <c r="E398" s="155"/>
      <c r="F398" s="154"/>
      <c r="G398" s="5"/>
    </row>
    <row r="399" spans="2:7" ht="23.25">
      <c r="B399" s="150" t="s">
        <v>1785</v>
      </c>
      <c r="C399" s="150" t="s">
        <v>1801</v>
      </c>
      <c r="D399" s="152">
        <v>1</v>
      </c>
      <c r="E399" s="155"/>
      <c r="F399" s="154"/>
      <c r="G399" s="5"/>
    </row>
    <row r="400" spans="2:7" ht="23.25">
      <c r="B400" s="150" t="s">
        <v>1805</v>
      </c>
      <c r="C400" s="150" t="s">
        <v>1803</v>
      </c>
      <c r="D400" s="152">
        <v>9</v>
      </c>
      <c r="E400" s="155"/>
      <c r="F400" s="154"/>
      <c r="G400" s="5"/>
    </row>
    <row r="401" spans="1:7" ht="23.25">
      <c r="B401" s="150" t="s">
        <v>1805</v>
      </c>
      <c r="C401" s="150" t="s">
        <v>1804</v>
      </c>
      <c r="D401" s="152">
        <v>10</v>
      </c>
      <c r="E401" s="155"/>
      <c r="F401" s="154"/>
      <c r="G401" s="5"/>
    </row>
    <row r="402" spans="1:7" ht="23.25">
      <c r="B402" s="150" t="s">
        <v>1805</v>
      </c>
      <c r="C402" s="150" t="s">
        <v>1806</v>
      </c>
      <c r="D402" s="152">
        <v>1</v>
      </c>
      <c r="E402" s="155"/>
      <c r="F402" s="154"/>
      <c r="G402" s="5"/>
    </row>
    <row r="403" spans="1:7" ht="23.25">
      <c r="B403" s="150" t="s">
        <v>1812</v>
      </c>
      <c r="C403" s="150" t="s">
        <v>1807</v>
      </c>
      <c r="D403" s="152">
        <v>50</v>
      </c>
      <c r="E403" s="155"/>
      <c r="F403" s="154"/>
      <c r="G403" s="5"/>
    </row>
    <row r="404" spans="1:7" ht="23.25">
      <c r="B404" s="150" t="s">
        <v>1812</v>
      </c>
      <c r="C404" s="150" t="s">
        <v>1793</v>
      </c>
      <c r="D404" s="152">
        <v>5</v>
      </c>
      <c r="E404" s="155"/>
      <c r="F404" s="154"/>
      <c r="G404" s="5"/>
    </row>
    <row r="405" spans="1:7" ht="23.25">
      <c r="B405" s="150" t="s">
        <v>1812</v>
      </c>
      <c r="C405" s="150" t="s">
        <v>1813</v>
      </c>
      <c r="D405" s="152">
        <v>6</v>
      </c>
      <c r="E405" s="155"/>
      <c r="F405" s="154"/>
      <c r="G405" s="5"/>
    </row>
    <row r="406" spans="1:7" ht="23.25">
      <c r="A406" s="41"/>
      <c r="B406" s="150" t="s">
        <v>1808</v>
      </c>
      <c r="C406" s="150" t="s">
        <v>1809</v>
      </c>
      <c r="D406" s="152">
        <v>2</v>
      </c>
      <c r="E406" s="155"/>
      <c r="F406" s="154"/>
      <c r="G406" s="5"/>
    </row>
    <row r="407" spans="1:7" s="5" customFormat="1" ht="23.25">
      <c r="B407" s="150" t="s">
        <v>1810</v>
      </c>
      <c r="C407" s="150" t="s">
        <v>1811</v>
      </c>
      <c r="D407" s="152">
        <v>3</v>
      </c>
      <c r="E407" s="155"/>
      <c r="F407" s="154"/>
    </row>
    <row r="408" spans="1:7" s="5" customFormat="1" ht="23.25">
      <c r="B408" s="150" t="s">
        <v>53</v>
      </c>
      <c r="C408" s="150" t="s">
        <v>1814</v>
      </c>
      <c r="D408" s="152">
        <v>4</v>
      </c>
      <c r="E408" s="155"/>
      <c r="F408" s="154"/>
    </row>
    <row r="409" spans="1:7" s="5" customFormat="1" ht="23.25">
      <c r="B409" s="150" t="s">
        <v>1817</v>
      </c>
      <c r="C409" s="150" t="s">
        <v>1815</v>
      </c>
      <c r="D409" s="152">
        <v>9</v>
      </c>
      <c r="E409" s="155"/>
      <c r="F409" s="154"/>
    </row>
    <row r="410" spans="1:7" s="5" customFormat="1" ht="23.25">
      <c r="A410" s="41" t="s">
        <v>1666</v>
      </c>
      <c r="B410" s="150" t="s">
        <v>1818</v>
      </c>
      <c r="C410" s="150"/>
      <c r="D410" s="152">
        <v>1</v>
      </c>
      <c r="E410" s="155"/>
      <c r="F410" s="154"/>
    </row>
    <row r="411" spans="1:7" s="5" customFormat="1" ht="23.25">
      <c r="B411" s="150" t="s">
        <v>1816</v>
      </c>
      <c r="C411" s="150" t="s">
        <v>1819</v>
      </c>
      <c r="D411" s="152">
        <v>4</v>
      </c>
      <c r="E411" s="155"/>
      <c r="F411" s="154"/>
    </row>
    <row r="412" spans="1:7" s="5" customFormat="1" ht="23.25">
      <c r="B412" s="150" t="s">
        <v>1828</v>
      </c>
      <c r="C412" s="150" t="s">
        <v>1829</v>
      </c>
      <c r="D412" s="152">
        <v>14</v>
      </c>
      <c r="E412" s="155"/>
      <c r="F412" s="154"/>
    </row>
    <row r="413" spans="1:7" s="5" customFormat="1" ht="23.25">
      <c r="B413" s="150" t="s">
        <v>1830</v>
      </c>
      <c r="C413" s="150" t="s">
        <v>1831</v>
      </c>
      <c r="D413" s="152">
        <v>26</v>
      </c>
      <c r="E413" s="155"/>
      <c r="F413" s="154"/>
    </row>
    <row r="414" spans="1:7" s="5" customFormat="1" ht="23.25">
      <c r="B414" s="150" t="s">
        <v>1832</v>
      </c>
      <c r="C414" s="150" t="s">
        <v>1833</v>
      </c>
      <c r="D414" s="152">
        <v>33</v>
      </c>
      <c r="E414" s="155"/>
      <c r="F414" s="154"/>
    </row>
    <row r="415" spans="1:7" s="5" customFormat="1" ht="23.25">
      <c r="B415" s="150" t="s">
        <v>1834</v>
      </c>
      <c r="C415" s="150" t="s">
        <v>1835</v>
      </c>
      <c r="D415" s="152">
        <v>30</v>
      </c>
      <c r="E415" s="155"/>
      <c r="F415" s="154"/>
    </row>
    <row r="416" spans="1:7" s="5" customFormat="1" ht="23.25">
      <c r="B416" s="150" t="s">
        <v>1905</v>
      </c>
      <c r="C416" s="150"/>
      <c r="D416" s="152"/>
      <c r="E416" s="155"/>
      <c r="F416" s="154"/>
    </row>
    <row r="417" spans="1:7" s="5" customFormat="1" ht="23.25">
      <c r="B417" s="150" t="s">
        <v>1906</v>
      </c>
      <c r="C417" s="150"/>
      <c r="D417" s="152"/>
      <c r="E417" s="155"/>
      <c r="F417" s="154"/>
    </row>
    <row r="418" spans="1:7" s="5" customFormat="1" ht="23.25">
      <c r="B418" s="150" t="s">
        <v>1836</v>
      </c>
      <c r="C418" s="150" t="s">
        <v>1841</v>
      </c>
      <c r="D418" s="152">
        <v>5</v>
      </c>
      <c r="E418" s="155"/>
      <c r="F418" s="154"/>
    </row>
    <row r="419" spans="1:7" s="5" customFormat="1" ht="23.25">
      <c r="B419" s="150" t="s">
        <v>1837</v>
      </c>
      <c r="C419" s="150" t="s">
        <v>1842</v>
      </c>
      <c r="D419" s="152">
        <v>2</v>
      </c>
      <c r="E419" s="155"/>
      <c r="F419" s="154"/>
    </row>
    <row r="420" spans="1:7" ht="23.25">
      <c r="B420" s="150" t="s">
        <v>1838</v>
      </c>
      <c r="C420" s="150" t="s">
        <v>1843</v>
      </c>
      <c r="D420" s="152">
        <v>11</v>
      </c>
      <c r="E420" s="155"/>
      <c r="F420" s="154"/>
      <c r="G420" s="5"/>
    </row>
    <row r="421" spans="1:7" ht="23.25">
      <c r="B421" s="150" t="s">
        <v>1839</v>
      </c>
      <c r="C421" s="150" t="s">
        <v>1844</v>
      </c>
      <c r="D421" s="152">
        <v>19</v>
      </c>
      <c r="E421" s="155"/>
      <c r="F421" s="154"/>
      <c r="G421" s="5"/>
    </row>
    <row r="422" spans="1:7" ht="23.25">
      <c r="A422" s="256"/>
      <c r="B422" s="279" t="s">
        <v>1879</v>
      </c>
      <c r="C422" s="184" t="s">
        <v>1587</v>
      </c>
      <c r="D422" s="278">
        <v>20</v>
      </c>
      <c r="E422" s="261">
        <v>15000</v>
      </c>
      <c r="F422" s="258">
        <v>19950</v>
      </c>
      <c r="G422" s="5"/>
    </row>
    <row r="423" spans="1:7" ht="23.25">
      <c r="A423" s="277" t="s">
        <v>1666</v>
      </c>
      <c r="B423" s="279" t="s">
        <v>1900</v>
      </c>
      <c r="C423" s="184"/>
      <c r="D423" s="278">
        <v>1</v>
      </c>
      <c r="E423" s="261"/>
      <c r="F423" s="258"/>
      <c r="G423" s="5"/>
    </row>
    <row r="424" spans="1:7" ht="23.25">
      <c r="A424" s="277" t="s">
        <v>1899</v>
      </c>
      <c r="B424" s="279" t="s">
        <v>1901</v>
      </c>
      <c r="C424" s="184"/>
      <c r="D424" s="278">
        <v>5</v>
      </c>
      <c r="E424" s="261"/>
      <c r="F424" s="258"/>
      <c r="G424" s="5"/>
    </row>
    <row r="425" spans="1:7" ht="23.25">
      <c r="B425" s="150" t="s">
        <v>1840</v>
      </c>
      <c r="C425" s="150" t="s">
        <v>1845</v>
      </c>
      <c r="D425" s="152">
        <v>71</v>
      </c>
      <c r="E425" s="155"/>
      <c r="F425" s="154"/>
      <c r="G425" s="5"/>
    </row>
    <row r="426" spans="1:7" ht="23.25">
      <c r="A426" s="41"/>
      <c r="B426" s="150" t="s">
        <v>1846</v>
      </c>
      <c r="C426" s="150"/>
      <c r="D426" s="152">
        <v>58</v>
      </c>
      <c r="E426" s="155"/>
      <c r="F426" s="154"/>
      <c r="G426" s="5"/>
    </row>
    <row r="427" spans="1:7" ht="23.25">
      <c r="B427" s="150"/>
      <c r="C427" s="150"/>
      <c r="D427" s="152"/>
      <c r="E427" s="155"/>
      <c r="F427" s="154"/>
      <c r="G427" s="5"/>
    </row>
    <row r="428" spans="1:7" ht="23.25">
      <c r="B428" s="150"/>
      <c r="C428" s="150"/>
      <c r="D428" s="152"/>
      <c r="E428" s="155"/>
      <c r="F428" s="154"/>
      <c r="G428" s="5"/>
    </row>
    <row r="429" spans="1:7" ht="23.25">
      <c r="B429" s="150"/>
      <c r="C429" s="150"/>
      <c r="D429" s="152"/>
      <c r="E429" s="155"/>
      <c r="F429" s="154"/>
      <c r="G429" s="5"/>
    </row>
    <row r="430" spans="1:7" ht="23.25">
      <c r="B430" s="150"/>
      <c r="C430" s="150"/>
      <c r="D430" s="152"/>
      <c r="E430" s="155"/>
      <c r="F430" s="154"/>
      <c r="G430" s="5"/>
    </row>
    <row r="431" spans="1:7" ht="23.25">
      <c r="B431" s="150"/>
      <c r="C431" s="150"/>
      <c r="D431" s="152"/>
      <c r="E431" s="155"/>
      <c r="F431" s="154"/>
      <c r="G431" s="5"/>
    </row>
    <row r="432" spans="1:7" ht="23.25">
      <c r="B432" s="150"/>
      <c r="C432" s="150"/>
      <c r="D432" s="152"/>
      <c r="E432" s="155"/>
      <c r="F432" s="154"/>
      <c r="G432" s="5"/>
    </row>
    <row r="433" spans="1:7" ht="23.25">
      <c r="B433" s="150"/>
      <c r="C433" s="150"/>
      <c r="D433" s="152"/>
      <c r="E433" s="155"/>
      <c r="F433" s="154"/>
      <c r="G433" s="5"/>
    </row>
    <row r="434" spans="1:7" ht="23.25">
      <c r="B434" s="150"/>
      <c r="C434" s="150"/>
      <c r="D434" s="152"/>
      <c r="E434" s="155"/>
      <c r="F434" s="154"/>
      <c r="G434" s="5"/>
    </row>
    <row r="435" spans="1:7" ht="23.25">
      <c r="B435" s="150"/>
      <c r="C435" s="150"/>
      <c r="D435" s="152"/>
      <c r="E435" s="155"/>
      <c r="F435" s="154"/>
      <c r="G435" s="5"/>
    </row>
    <row r="436" spans="1:7" ht="23.25">
      <c r="B436" s="150"/>
      <c r="C436" s="150"/>
      <c r="D436" s="152"/>
      <c r="E436" s="155"/>
      <c r="F436" s="154"/>
      <c r="G436" s="5"/>
    </row>
    <row r="437" spans="1:7" ht="23.25">
      <c r="B437" s="150"/>
      <c r="C437" s="150"/>
      <c r="D437" s="152"/>
      <c r="E437" s="155"/>
      <c r="F437" s="154"/>
      <c r="G437" s="5"/>
    </row>
    <row r="438" spans="1:7" ht="23.25">
      <c r="B438" s="297" t="s">
        <v>1506</v>
      </c>
      <c r="C438" s="298"/>
      <c r="D438" s="298"/>
      <c r="E438" s="299"/>
      <c r="F438" s="147"/>
      <c r="G438" s="5"/>
    </row>
    <row r="439" spans="1:7" ht="23.25">
      <c r="B439" s="150" t="s">
        <v>1505</v>
      </c>
      <c r="C439" s="151" t="s">
        <v>173</v>
      </c>
      <c r="D439" s="152">
        <v>114</v>
      </c>
      <c r="E439" s="284">
        <v>5000</v>
      </c>
      <c r="F439" s="161">
        <v>30000</v>
      </c>
      <c r="G439" s="5"/>
    </row>
    <row r="440" spans="1:7" ht="23.25">
      <c r="B440" s="150" t="s">
        <v>1907</v>
      </c>
      <c r="C440" s="151" t="s">
        <v>12</v>
      </c>
      <c r="D440" s="152">
        <v>24</v>
      </c>
      <c r="E440" s="147">
        <v>5000</v>
      </c>
      <c r="F440" s="161">
        <v>30000</v>
      </c>
      <c r="G440" s="5"/>
    </row>
    <row r="441" spans="1:7" ht="23.25">
      <c r="B441" s="150" t="s">
        <v>1908</v>
      </c>
      <c r="C441" s="151" t="s">
        <v>544</v>
      </c>
      <c r="D441" s="152">
        <v>24</v>
      </c>
      <c r="E441" s="147">
        <v>5000</v>
      </c>
      <c r="F441" s="161"/>
      <c r="G441" s="5"/>
    </row>
    <row r="442" spans="1:7" ht="23.25">
      <c r="A442" s="5" t="s">
        <v>1606</v>
      </c>
      <c r="B442" s="150" t="s">
        <v>222</v>
      </c>
      <c r="C442" s="151" t="s">
        <v>554</v>
      </c>
      <c r="D442" s="152">
        <v>10</v>
      </c>
      <c r="E442" s="155">
        <v>6000</v>
      </c>
      <c r="F442" s="154"/>
      <c r="G442" s="5"/>
    </row>
    <row r="443" spans="1:7" ht="23.25">
      <c r="A443" s="5" t="s">
        <v>1606</v>
      </c>
      <c r="B443" s="150" t="s">
        <v>224</v>
      </c>
      <c r="C443" s="151" t="s">
        <v>554</v>
      </c>
      <c r="D443" s="152">
        <v>5</v>
      </c>
      <c r="E443" s="155">
        <v>6000</v>
      </c>
      <c r="F443" s="154" t="s">
        <v>558</v>
      </c>
      <c r="G443" s="5"/>
    </row>
    <row r="444" spans="1:7" ht="23.25">
      <c r="A444" s="5" t="s">
        <v>1606</v>
      </c>
      <c r="B444" s="150" t="s">
        <v>557</v>
      </c>
      <c r="C444" s="151" t="s">
        <v>554</v>
      </c>
      <c r="D444" s="152">
        <v>13</v>
      </c>
      <c r="E444" s="155">
        <v>6000</v>
      </c>
      <c r="F444" s="154"/>
      <c r="G444" s="5"/>
    </row>
    <row r="445" spans="1:7" ht="23.25">
      <c r="A445" s="5" t="s">
        <v>1606</v>
      </c>
      <c r="B445" s="150" t="s">
        <v>223</v>
      </c>
      <c r="C445" s="151" t="s">
        <v>554</v>
      </c>
      <c r="D445" s="152">
        <v>10</v>
      </c>
      <c r="E445" s="155">
        <v>6000</v>
      </c>
      <c r="F445" s="154"/>
      <c r="G445" s="5"/>
    </row>
    <row r="446" spans="1:7" ht="23.25">
      <c r="A446" s="5" t="s">
        <v>1606</v>
      </c>
      <c r="B446" s="150" t="s">
        <v>559</v>
      </c>
      <c r="C446" s="151" t="s">
        <v>554</v>
      </c>
      <c r="D446" s="152">
        <v>18</v>
      </c>
      <c r="E446" s="155">
        <v>6000</v>
      </c>
      <c r="F446" s="154"/>
      <c r="G446" s="5"/>
    </row>
    <row r="447" spans="1:7" ht="23.25">
      <c r="A447" s="5" t="s">
        <v>1606</v>
      </c>
      <c r="B447" s="150" t="s">
        <v>221</v>
      </c>
      <c r="C447" s="151" t="s">
        <v>554</v>
      </c>
      <c r="D447" s="152">
        <v>16</v>
      </c>
      <c r="E447" s="155">
        <v>6000</v>
      </c>
      <c r="F447" s="154"/>
      <c r="G447" s="5"/>
    </row>
    <row r="448" spans="1:7" ht="23.25">
      <c r="A448" s="5" t="s">
        <v>1606</v>
      </c>
      <c r="B448" s="150" t="s">
        <v>560</v>
      </c>
      <c r="C448" s="151" t="s">
        <v>554</v>
      </c>
      <c r="D448" s="152">
        <v>8</v>
      </c>
      <c r="E448" s="155">
        <v>6000</v>
      </c>
      <c r="F448" s="154"/>
      <c r="G448" s="5"/>
    </row>
    <row r="449" spans="1:7" ht="23.25">
      <c r="A449" s="5" t="s">
        <v>1606</v>
      </c>
      <c r="B449" s="150" t="s">
        <v>947</v>
      </c>
      <c r="C449" s="151" t="s">
        <v>554</v>
      </c>
      <c r="D449" s="152">
        <v>9</v>
      </c>
      <c r="E449" s="155">
        <v>6000</v>
      </c>
      <c r="F449" s="154"/>
      <c r="G449" s="5"/>
    </row>
    <row r="450" spans="1:7" ht="23.25">
      <c r="A450" s="5" t="s">
        <v>1606</v>
      </c>
      <c r="B450" s="150" t="s">
        <v>218</v>
      </c>
      <c r="C450" s="151" t="s">
        <v>554</v>
      </c>
      <c r="D450" s="152">
        <v>11</v>
      </c>
      <c r="E450" s="155">
        <v>6000</v>
      </c>
      <c r="F450" s="154"/>
      <c r="G450" s="5"/>
    </row>
    <row r="451" spans="1:7" ht="23.25">
      <c r="A451" s="5" t="s">
        <v>1606</v>
      </c>
      <c r="B451" s="150" t="s">
        <v>220</v>
      </c>
      <c r="C451" s="151" t="s">
        <v>554</v>
      </c>
      <c r="D451" s="152">
        <v>10</v>
      </c>
      <c r="E451" s="155">
        <v>6000</v>
      </c>
      <c r="F451" s="154"/>
      <c r="G451" s="5"/>
    </row>
    <row r="452" spans="1:7" ht="23.25">
      <c r="A452" s="5" t="s">
        <v>1606</v>
      </c>
      <c r="B452" s="150" t="s">
        <v>219</v>
      </c>
      <c r="C452" s="151" t="s">
        <v>554</v>
      </c>
      <c r="D452" s="152">
        <v>15</v>
      </c>
      <c r="E452" s="155">
        <v>6000</v>
      </c>
      <c r="F452" s="154"/>
      <c r="G452" s="5"/>
    </row>
    <row r="453" spans="1:7" ht="23.25">
      <c r="A453" s="5" t="s">
        <v>1606</v>
      </c>
      <c r="B453" s="150" t="s">
        <v>946</v>
      </c>
      <c r="C453" s="151" t="s">
        <v>554</v>
      </c>
      <c r="D453" s="152">
        <v>11</v>
      </c>
      <c r="E453" s="155">
        <v>7000</v>
      </c>
      <c r="F453" s="154"/>
      <c r="G453" s="5"/>
    </row>
    <row r="454" spans="1:7" ht="23.25">
      <c r="B454" s="163" t="s">
        <v>1909</v>
      </c>
      <c r="C454" s="164"/>
      <c r="D454" s="165">
        <v>79</v>
      </c>
      <c r="E454" s="272"/>
      <c r="F454" s="154"/>
      <c r="G454" s="5"/>
    </row>
    <row r="455" spans="1:7" ht="23.25">
      <c r="B455" s="163" t="s">
        <v>1910</v>
      </c>
      <c r="C455" s="164"/>
      <c r="D455" s="165">
        <v>2</v>
      </c>
      <c r="E455" s="272"/>
      <c r="F455" s="154"/>
      <c r="G455" s="5"/>
    </row>
    <row r="456" spans="1:7" ht="23.25">
      <c r="B456" s="297" t="s">
        <v>1240</v>
      </c>
      <c r="C456" s="298"/>
      <c r="D456" s="298"/>
      <c r="E456" s="299"/>
      <c r="F456" s="154"/>
      <c r="G456" s="5"/>
    </row>
    <row r="457" spans="1:7" ht="23.25">
      <c r="A457" s="5" t="s">
        <v>1606</v>
      </c>
      <c r="B457" s="150" t="s">
        <v>722</v>
      </c>
      <c r="C457" s="151" t="s">
        <v>1007</v>
      </c>
      <c r="D457" s="152">
        <v>1</v>
      </c>
      <c r="E457" s="153">
        <v>70000</v>
      </c>
      <c r="F457" s="167"/>
      <c r="G457" s="5"/>
    </row>
    <row r="458" spans="1:7" ht="23.25">
      <c r="A458" s="5" t="s">
        <v>1606</v>
      </c>
      <c r="B458" s="146" t="s">
        <v>723</v>
      </c>
      <c r="C458" s="151" t="s">
        <v>1007</v>
      </c>
      <c r="D458" s="139">
        <v>1</v>
      </c>
      <c r="E458" s="157">
        <v>70000</v>
      </c>
      <c r="F458" s="137"/>
      <c r="G458" s="5"/>
    </row>
    <row r="459" spans="1:7" ht="23.25">
      <c r="A459" s="5" t="s">
        <v>1606</v>
      </c>
      <c r="B459" s="146" t="s">
        <v>724</v>
      </c>
      <c r="C459" s="138" t="s">
        <v>1021</v>
      </c>
      <c r="D459" s="139">
        <v>2</v>
      </c>
      <c r="E459" s="157">
        <v>30000</v>
      </c>
      <c r="F459" s="137"/>
      <c r="G459" s="5"/>
    </row>
    <row r="460" spans="1:7" ht="23.25">
      <c r="A460" s="41" t="s">
        <v>1885</v>
      </c>
      <c r="B460" s="280" t="s">
        <v>1884</v>
      </c>
      <c r="C460" s="281" t="s">
        <v>1886</v>
      </c>
      <c r="D460" s="282">
        <v>1</v>
      </c>
      <c r="E460" s="283"/>
      <c r="F460" s="137"/>
      <c r="G460" s="5"/>
    </row>
    <row r="461" spans="1:7" ht="23.25">
      <c r="B461" s="300" t="s">
        <v>645</v>
      </c>
      <c r="C461" s="301"/>
      <c r="D461" s="301"/>
      <c r="E461" s="302"/>
      <c r="F461" s="191"/>
      <c r="G461" s="5"/>
    </row>
    <row r="462" spans="1:7" ht="23.25">
      <c r="A462" s="5" t="s">
        <v>1606</v>
      </c>
      <c r="B462" s="150" t="s">
        <v>79</v>
      </c>
      <c r="C462" s="151" t="s">
        <v>24</v>
      </c>
      <c r="D462" s="152">
        <v>48</v>
      </c>
      <c r="E462" s="155">
        <v>1000</v>
      </c>
      <c r="F462" s="167"/>
      <c r="G462" s="5"/>
    </row>
    <row r="463" spans="1:7" ht="23.25">
      <c r="A463" s="5" t="s">
        <v>1606</v>
      </c>
      <c r="B463" s="150" t="s">
        <v>80</v>
      </c>
      <c r="C463" s="151" t="s">
        <v>1349</v>
      </c>
      <c r="D463" s="152">
        <v>48</v>
      </c>
      <c r="E463" s="155">
        <v>1000</v>
      </c>
      <c r="F463" s="167"/>
      <c r="G463" s="5"/>
    </row>
    <row r="464" spans="1:7" ht="23.25">
      <c r="A464" s="5" t="s">
        <v>1606</v>
      </c>
      <c r="B464" s="150" t="s">
        <v>81</v>
      </c>
      <c r="C464" s="151" t="s">
        <v>1350</v>
      </c>
      <c r="D464" s="152">
        <v>48</v>
      </c>
      <c r="E464" s="155">
        <v>1000</v>
      </c>
      <c r="F464" s="167"/>
      <c r="G464" s="5"/>
    </row>
    <row r="465" spans="1:7" ht="23.25">
      <c r="B465" s="150"/>
      <c r="C465" s="151"/>
      <c r="D465" s="152"/>
      <c r="E465" s="155"/>
      <c r="F465" s="167"/>
      <c r="G465" s="5"/>
    </row>
    <row r="466" spans="1:7" ht="23.25">
      <c r="B466" s="171" t="s">
        <v>1351</v>
      </c>
      <c r="C466" s="151"/>
      <c r="D466" s="152"/>
      <c r="E466" s="155"/>
      <c r="F466" s="167"/>
      <c r="G466" s="5"/>
    </row>
    <row r="467" spans="1:7" ht="23.25">
      <c r="A467" s="5" t="s">
        <v>1606</v>
      </c>
      <c r="B467" s="150" t="s">
        <v>647</v>
      </c>
      <c r="C467" s="151" t="s">
        <v>1058</v>
      </c>
      <c r="D467" s="152">
        <v>102</v>
      </c>
      <c r="E467" s="154">
        <v>1500</v>
      </c>
      <c r="F467" s="161"/>
      <c r="G467" s="5"/>
    </row>
    <row r="468" spans="1:7" ht="23.25">
      <c r="A468" s="5" t="s">
        <v>1606</v>
      </c>
      <c r="B468" s="150" t="s">
        <v>648</v>
      </c>
      <c r="C468" s="151" t="s">
        <v>1351</v>
      </c>
      <c r="D468" s="152">
        <v>102</v>
      </c>
      <c r="E468" s="154">
        <v>1500</v>
      </c>
      <c r="F468" s="161"/>
      <c r="G468" s="5"/>
    </row>
    <row r="469" spans="1:7" ht="23.25">
      <c r="A469" s="5" t="s">
        <v>1606</v>
      </c>
      <c r="B469" s="150" t="s">
        <v>649</v>
      </c>
      <c r="C469" s="151" t="s">
        <v>1351</v>
      </c>
      <c r="D469" s="152">
        <v>102</v>
      </c>
      <c r="E469" s="154">
        <v>1500</v>
      </c>
      <c r="F469" s="161"/>
      <c r="G469" s="5"/>
    </row>
    <row r="470" spans="1:7" ht="23.25">
      <c r="A470" s="41" t="s">
        <v>1915</v>
      </c>
      <c r="B470" s="150" t="s">
        <v>650</v>
      </c>
      <c r="C470" s="151" t="s">
        <v>1351</v>
      </c>
      <c r="D470" s="152">
        <v>95</v>
      </c>
      <c r="E470" s="154">
        <v>1500</v>
      </c>
      <c r="F470" s="161"/>
      <c r="G470" s="5"/>
    </row>
    <row r="471" spans="1:7" ht="23.25">
      <c r="B471" s="150"/>
      <c r="C471" s="151"/>
      <c r="D471" s="152"/>
      <c r="E471" s="154"/>
      <c r="F471" s="161"/>
      <c r="G471" s="5"/>
    </row>
    <row r="472" spans="1:7" ht="23.25">
      <c r="B472" s="171" t="s">
        <v>1381</v>
      </c>
      <c r="C472" s="151"/>
      <c r="D472" s="152" t="s">
        <v>1383</v>
      </c>
      <c r="E472" s="161">
        <v>110000</v>
      </c>
      <c r="F472" s="161"/>
      <c r="G472" s="5"/>
    </row>
    <row r="473" spans="1:7" ht="23.25">
      <c r="A473" s="41" t="s">
        <v>1912</v>
      </c>
      <c r="B473" s="150" t="s">
        <v>1216</v>
      </c>
      <c r="C473" s="151" t="s">
        <v>1241</v>
      </c>
      <c r="D473" s="152">
        <v>137</v>
      </c>
      <c r="E473" s="160">
        <v>1500</v>
      </c>
      <c r="F473" s="161"/>
      <c r="G473" s="5"/>
    </row>
    <row r="474" spans="1:7" ht="23.25">
      <c r="A474" s="5" t="s">
        <v>1606</v>
      </c>
      <c r="B474" s="150" t="s">
        <v>1378</v>
      </c>
      <c r="C474" s="151" t="s">
        <v>1352</v>
      </c>
      <c r="D474" s="152">
        <v>138</v>
      </c>
      <c r="E474" s="160">
        <v>1500</v>
      </c>
      <c r="F474" s="161"/>
      <c r="G474" s="5"/>
    </row>
    <row r="475" spans="1:7" ht="23.25">
      <c r="A475" s="5" t="s">
        <v>1606</v>
      </c>
      <c r="B475" s="150" t="s">
        <v>1379</v>
      </c>
      <c r="C475" s="151" t="s">
        <v>1352</v>
      </c>
      <c r="D475" s="152">
        <v>138</v>
      </c>
      <c r="E475" s="160">
        <v>1500</v>
      </c>
      <c r="F475" s="161"/>
      <c r="G475" s="5"/>
    </row>
    <row r="476" spans="1:7" ht="23.25">
      <c r="A476" s="5" t="s">
        <v>1606</v>
      </c>
      <c r="B476" s="150" t="s">
        <v>1380</v>
      </c>
      <c r="C476" s="151" t="s">
        <v>175</v>
      </c>
      <c r="D476" s="152">
        <v>138</v>
      </c>
      <c r="E476" s="160">
        <v>1500</v>
      </c>
      <c r="F476" s="161"/>
      <c r="G476" s="5"/>
    </row>
    <row r="477" spans="1:7" ht="23.25">
      <c r="B477" s="150"/>
      <c r="C477" s="151"/>
      <c r="D477" s="152"/>
      <c r="E477" s="160"/>
      <c r="F477" s="161"/>
      <c r="G477" s="5"/>
    </row>
    <row r="478" spans="1:7" ht="23.25">
      <c r="B478" s="171" t="s">
        <v>1382</v>
      </c>
      <c r="C478" s="151"/>
      <c r="D478" s="152"/>
      <c r="E478" s="160"/>
      <c r="F478" s="161"/>
      <c r="G478" s="5"/>
    </row>
    <row r="479" spans="1:7" ht="23.25">
      <c r="A479" s="41" t="s">
        <v>1912</v>
      </c>
      <c r="B479" s="150" t="s">
        <v>813</v>
      </c>
      <c r="C479" s="151" t="s">
        <v>1242</v>
      </c>
      <c r="D479" s="152">
        <v>107</v>
      </c>
      <c r="E479" s="153">
        <v>1500</v>
      </c>
      <c r="F479" s="154"/>
      <c r="G479" s="5"/>
    </row>
    <row r="480" spans="1:7" ht="23.25">
      <c r="A480" s="41" t="s">
        <v>1913</v>
      </c>
      <c r="B480" s="150" t="s">
        <v>815</v>
      </c>
      <c r="C480" s="151" t="s">
        <v>169</v>
      </c>
      <c r="D480" s="152">
        <v>102</v>
      </c>
      <c r="E480" s="153">
        <v>1500</v>
      </c>
      <c r="F480" s="154"/>
      <c r="G480" s="5"/>
    </row>
    <row r="481" spans="1:7" ht="23.25">
      <c r="A481" s="41" t="s">
        <v>1914</v>
      </c>
      <c r="B481" s="150" t="s">
        <v>814</v>
      </c>
      <c r="C481" s="151" t="s">
        <v>169</v>
      </c>
      <c r="D481" s="152">
        <v>106</v>
      </c>
      <c r="E481" s="153">
        <v>1500</v>
      </c>
      <c r="F481" s="154"/>
      <c r="G481" s="5"/>
    </row>
    <row r="482" spans="1:7" ht="23.25">
      <c r="A482" s="5" t="s">
        <v>1606</v>
      </c>
      <c r="B482" s="150" t="s">
        <v>816</v>
      </c>
      <c r="C482" s="151" t="s">
        <v>169</v>
      </c>
      <c r="D482" s="152">
        <v>106</v>
      </c>
      <c r="E482" s="153">
        <v>1500</v>
      </c>
      <c r="F482" s="154"/>
      <c r="G482" s="5"/>
    </row>
    <row r="483" spans="1:7" ht="23.25">
      <c r="B483" s="303" t="s">
        <v>624</v>
      </c>
      <c r="C483" s="304"/>
      <c r="D483" s="304"/>
      <c r="E483" s="305"/>
      <c r="F483" s="192"/>
      <c r="G483" s="5"/>
    </row>
    <row r="484" spans="1:7" ht="23.25">
      <c r="A484" s="41" t="s">
        <v>1911</v>
      </c>
      <c r="B484" s="146" t="s">
        <v>625</v>
      </c>
      <c r="C484" s="138" t="s">
        <v>1145</v>
      </c>
      <c r="D484" s="139">
        <v>4</v>
      </c>
      <c r="E484" s="193">
        <v>60000</v>
      </c>
      <c r="F484" s="137"/>
      <c r="G484" s="5"/>
    </row>
    <row r="485" spans="1:7" ht="23.25">
      <c r="A485" s="41" t="s">
        <v>1911</v>
      </c>
      <c r="B485" s="146" t="s">
        <v>681</v>
      </c>
      <c r="C485" s="138" t="s">
        <v>1146</v>
      </c>
      <c r="D485" s="139">
        <v>4</v>
      </c>
      <c r="E485" s="193">
        <v>60000</v>
      </c>
      <c r="F485" s="137"/>
      <c r="G485" s="5"/>
    </row>
    <row r="486" spans="1:7" ht="23.25">
      <c r="A486" s="41" t="s">
        <v>1606</v>
      </c>
      <c r="B486" s="146" t="s">
        <v>743</v>
      </c>
      <c r="C486" s="138" t="s">
        <v>1147</v>
      </c>
      <c r="D486" s="139">
        <v>4</v>
      </c>
      <c r="E486" s="193">
        <v>60000</v>
      </c>
      <c r="F486" s="137"/>
      <c r="G486" s="5"/>
    </row>
    <row r="487" spans="1:7" ht="23.25">
      <c r="A487" s="41" t="s">
        <v>1606</v>
      </c>
      <c r="B487" s="146" t="s">
        <v>744</v>
      </c>
      <c r="C487" s="138" t="s">
        <v>1148</v>
      </c>
      <c r="D487" s="139">
        <v>4</v>
      </c>
      <c r="E487" s="193">
        <v>60000</v>
      </c>
      <c r="F487" s="137"/>
      <c r="G487" s="5"/>
    </row>
    <row r="488" spans="1:7" ht="23.25">
      <c r="A488" s="41" t="s">
        <v>1606</v>
      </c>
      <c r="B488" s="146" t="s">
        <v>745</v>
      </c>
      <c r="C488" s="138" t="s">
        <v>1149</v>
      </c>
      <c r="D488" s="139">
        <v>4</v>
      </c>
      <c r="E488" s="193">
        <v>60000</v>
      </c>
      <c r="F488" s="137"/>
      <c r="G488" s="5"/>
    </row>
    <row r="489" spans="1:7" ht="23.25">
      <c r="B489" s="297" t="s">
        <v>577</v>
      </c>
      <c r="C489" s="298"/>
      <c r="D489" s="298"/>
      <c r="E489" s="299"/>
      <c r="F489" s="159"/>
      <c r="G489" s="5"/>
    </row>
    <row r="490" spans="1:7" ht="23.25">
      <c r="A490" s="5" t="s">
        <v>1606</v>
      </c>
      <c r="B490" s="239" t="s">
        <v>1403</v>
      </c>
      <c r="C490" s="164" t="s">
        <v>1404</v>
      </c>
      <c r="D490" s="165">
        <v>6</v>
      </c>
      <c r="E490" s="232">
        <v>30000</v>
      </c>
      <c r="F490" s="238">
        <v>70000</v>
      </c>
      <c r="G490" s="5"/>
    </row>
    <row r="491" spans="1:7" ht="23.25">
      <c r="A491" s="41" t="s">
        <v>1912</v>
      </c>
      <c r="B491" s="150" t="s">
        <v>588</v>
      </c>
      <c r="C491" s="151" t="s">
        <v>703</v>
      </c>
      <c r="D491" s="152">
        <v>119</v>
      </c>
      <c r="E491" s="178">
        <v>2000</v>
      </c>
      <c r="F491" s="167"/>
      <c r="G491" s="5"/>
    </row>
    <row r="492" spans="1:7" ht="23.25">
      <c r="A492" s="5" t="s">
        <v>1606</v>
      </c>
      <c r="B492" s="150" t="s">
        <v>1484</v>
      </c>
      <c r="C492" s="151" t="s">
        <v>1476</v>
      </c>
      <c r="D492" s="152">
        <v>210</v>
      </c>
      <c r="E492" s="178">
        <v>3000</v>
      </c>
      <c r="F492" s="172">
        <v>30000</v>
      </c>
      <c r="G492" s="5"/>
    </row>
    <row r="493" spans="1:7" ht="23.25">
      <c r="A493" s="41" t="s">
        <v>1916</v>
      </c>
      <c r="B493" s="245" t="s">
        <v>1485</v>
      </c>
      <c r="C493" s="151" t="s">
        <v>1477</v>
      </c>
      <c r="D493" s="152">
        <v>145</v>
      </c>
      <c r="E493" s="178">
        <v>2000</v>
      </c>
      <c r="F493" s="154" t="s">
        <v>1486</v>
      </c>
      <c r="G493" s="5"/>
    </row>
    <row r="494" spans="1:7" ht="23.25">
      <c r="A494" s="41" t="s">
        <v>1917</v>
      </c>
      <c r="B494" s="150" t="s">
        <v>1405</v>
      </c>
      <c r="C494" s="151" t="s">
        <v>725</v>
      </c>
      <c r="D494" s="152">
        <v>119</v>
      </c>
      <c r="E494" s="178">
        <v>1500</v>
      </c>
      <c r="F494" s="161">
        <v>150000</v>
      </c>
      <c r="G494" s="5"/>
    </row>
    <row r="495" spans="1:7" ht="23.25">
      <c r="A495" s="5" t="s">
        <v>1606</v>
      </c>
      <c r="B495" s="150" t="s">
        <v>651</v>
      </c>
      <c r="C495" s="151" t="s">
        <v>720</v>
      </c>
      <c r="D495" s="152">
        <v>120</v>
      </c>
      <c r="E495" s="178">
        <v>2000</v>
      </c>
      <c r="F495" s="161"/>
      <c r="G495" s="5"/>
    </row>
    <row r="496" spans="1:7" ht="23.25">
      <c r="A496" s="5" t="s">
        <v>1606</v>
      </c>
      <c r="B496" s="150" t="s">
        <v>1355</v>
      </c>
      <c r="C496" s="151" t="s">
        <v>1023</v>
      </c>
      <c r="D496" s="152">
        <v>30</v>
      </c>
      <c r="E496" s="178">
        <v>1500</v>
      </c>
      <c r="F496" s="167"/>
      <c r="G496" s="5"/>
    </row>
    <row r="497" spans="1:7" ht="23.25">
      <c r="A497" s="5" t="s">
        <v>1606</v>
      </c>
      <c r="B497" s="150" t="s">
        <v>1354</v>
      </c>
      <c r="C497" s="151"/>
      <c r="D497" s="152">
        <v>30</v>
      </c>
      <c r="E497" s="178">
        <v>1500</v>
      </c>
      <c r="F497" s="167"/>
      <c r="G497" s="5"/>
    </row>
    <row r="498" spans="1:7" ht="23.25">
      <c r="A498" s="5" t="s">
        <v>1606</v>
      </c>
      <c r="B498" s="150" t="s">
        <v>646</v>
      </c>
      <c r="C498" s="151" t="s">
        <v>721</v>
      </c>
      <c r="D498" s="152">
        <v>12</v>
      </c>
      <c r="E498" s="153">
        <v>1500</v>
      </c>
      <c r="F498" s="167"/>
      <c r="G498" s="5"/>
    </row>
    <row r="499" spans="1:7" ht="23.25">
      <c r="A499" s="41" t="s">
        <v>1918</v>
      </c>
      <c r="B499" s="150" t="s">
        <v>1244</v>
      </c>
      <c r="C499" s="151" t="s">
        <v>1353</v>
      </c>
      <c r="D499" s="152">
        <v>49</v>
      </c>
      <c r="E499" s="153">
        <v>2000</v>
      </c>
      <c r="F499" s="167"/>
      <c r="G499" s="5"/>
    </row>
    <row r="500" spans="1:7" ht="23.25">
      <c r="A500" s="5" t="s">
        <v>1606</v>
      </c>
      <c r="B500" s="150" t="s">
        <v>1245</v>
      </c>
      <c r="C500" s="151" t="s">
        <v>1353</v>
      </c>
      <c r="D500" s="152">
        <v>50</v>
      </c>
      <c r="E500" s="153">
        <v>2000</v>
      </c>
      <c r="F500" s="167"/>
      <c r="G500" s="5"/>
    </row>
    <row r="501" spans="1:7" ht="23.25">
      <c r="A501" s="5" t="s">
        <v>1606</v>
      </c>
      <c r="B501" s="150" t="s">
        <v>697</v>
      </c>
      <c r="C501" s="151" t="s">
        <v>704</v>
      </c>
      <c r="D501" s="152">
        <v>122</v>
      </c>
      <c r="E501" s="153">
        <v>1000</v>
      </c>
      <c r="F501" s="167"/>
      <c r="G501" s="5"/>
    </row>
    <row r="502" spans="1:7" ht="23.25">
      <c r="A502" s="65" t="s">
        <v>1919</v>
      </c>
      <c r="B502" s="150" t="s">
        <v>652</v>
      </c>
      <c r="C502" s="151" t="s">
        <v>655</v>
      </c>
      <c r="D502" s="152">
        <v>309</v>
      </c>
      <c r="E502" s="153">
        <v>2000</v>
      </c>
      <c r="F502" s="167"/>
      <c r="G502" s="5"/>
    </row>
    <row r="503" spans="1:7" ht="23.25">
      <c r="A503" s="41" t="s">
        <v>1666</v>
      </c>
      <c r="B503" s="150" t="s">
        <v>1880</v>
      </c>
      <c r="C503" s="151"/>
      <c r="D503" s="152">
        <v>18</v>
      </c>
      <c r="E503" s="153"/>
      <c r="F503" s="167"/>
      <c r="G503" s="5"/>
    </row>
    <row r="504" spans="1:7" ht="23.25">
      <c r="A504" s="5" t="s">
        <v>1606</v>
      </c>
      <c r="B504" s="150" t="s">
        <v>653</v>
      </c>
      <c r="C504" s="151" t="s">
        <v>655</v>
      </c>
      <c r="D504" s="152">
        <v>236</v>
      </c>
      <c r="E504" s="153">
        <v>1500</v>
      </c>
      <c r="F504" s="167"/>
      <c r="G504" s="5" t="s">
        <v>1609</v>
      </c>
    </row>
    <row r="505" spans="1:7" ht="23.25">
      <c r="A505" s="5" t="s">
        <v>1606</v>
      </c>
      <c r="B505" s="150" t="s">
        <v>1024</v>
      </c>
      <c r="C505" s="151"/>
      <c r="D505" s="152">
        <v>6</v>
      </c>
      <c r="E505" s="153">
        <v>1500</v>
      </c>
      <c r="F505" s="167"/>
      <c r="G505" s="5"/>
    </row>
    <row r="506" spans="1:7" ht="23.25">
      <c r="A506" s="5" t="s">
        <v>1606</v>
      </c>
      <c r="B506" s="150" t="s">
        <v>1025</v>
      </c>
      <c r="C506" s="151"/>
      <c r="D506" s="152">
        <v>3</v>
      </c>
      <c r="E506" s="153">
        <v>1500</v>
      </c>
      <c r="F506" s="161">
        <v>10600</v>
      </c>
      <c r="G506" s="5"/>
    </row>
    <row r="507" spans="1:7" ht="23.25">
      <c r="A507" s="5" t="s">
        <v>1606</v>
      </c>
      <c r="B507" s="150" t="s">
        <v>1026</v>
      </c>
      <c r="C507" s="151"/>
      <c r="D507" s="152">
        <v>5</v>
      </c>
      <c r="E507" s="153">
        <v>1500</v>
      </c>
      <c r="F507" s="154">
        <v>9500</v>
      </c>
      <c r="G507" s="5"/>
    </row>
    <row r="508" spans="1:7" ht="23.25">
      <c r="A508" s="41" t="s">
        <v>1920</v>
      </c>
      <c r="B508" s="150" t="s">
        <v>654</v>
      </c>
      <c r="C508" s="151" t="s">
        <v>1027</v>
      </c>
      <c r="D508" s="152">
        <v>199</v>
      </c>
      <c r="E508" s="153">
        <v>2000</v>
      </c>
      <c r="F508" s="154">
        <v>10600</v>
      </c>
      <c r="G508" s="5"/>
    </row>
    <row r="509" spans="1:7" ht="23.25">
      <c r="A509" s="5" t="s">
        <v>1606</v>
      </c>
      <c r="B509" s="150" t="s">
        <v>819</v>
      </c>
      <c r="C509" s="151" t="s">
        <v>1194</v>
      </c>
      <c r="D509" s="152">
        <v>22</v>
      </c>
      <c r="E509" s="153">
        <v>2500</v>
      </c>
      <c r="F509" s="154">
        <v>10600</v>
      </c>
      <c r="G509" s="5"/>
    </row>
    <row r="510" spans="1:7" ht="23.25">
      <c r="A510" s="5" t="s">
        <v>1606</v>
      </c>
      <c r="B510" s="150" t="s">
        <v>487</v>
      </c>
      <c r="C510" s="151"/>
      <c r="D510" s="152">
        <v>20</v>
      </c>
      <c r="E510" s="153">
        <v>1500</v>
      </c>
      <c r="F510" s="167"/>
      <c r="G510" s="5"/>
    </row>
    <row r="511" spans="1:7" ht="23.25">
      <c r="A511" s="5" t="s">
        <v>1606</v>
      </c>
      <c r="B511" s="163" t="s">
        <v>1881</v>
      </c>
      <c r="C511" s="164" t="s">
        <v>1882</v>
      </c>
      <c r="D511" s="165">
        <v>12</v>
      </c>
      <c r="E511" s="235"/>
      <c r="F511" s="167"/>
      <c r="G511" s="5"/>
    </row>
    <row r="512" spans="1:7" ht="23.25">
      <c r="A512" s="41" t="s">
        <v>1666</v>
      </c>
      <c r="B512" s="163" t="s">
        <v>1921</v>
      </c>
      <c r="C512" s="164"/>
      <c r="D512" s="165">
        <v>15</v>
      </c>
      <c r="E512" s="235"/>
      <c r="F512" s="167"/>
      <c r="G512" s="5"/>
    </row>
    <row r="513" spans="1:7" ht="23.25">
      <c r="B513" s="297" t="s">
        <v>1248</v>
      </c>
      <c r="C513" s="298"/>
      <c r="D513" s="298"/>
      <c r="E513" s="299"/>
      <c r="F513" s="167"/>
      <c r="G513" s="5"/>
    </row>
    <row r="514" spans="1:7" ht="23.25">
      <c r="A514" s="5" t="s">
        <v>1606</v>
      </c>
      <c r="B514" s="150" t="s">
        <v>730</v>
      </c>
      <c r="C514" s="151" t="s">
        <v>1356</v>
      </c>
      <c r="D514" s="152">
        <v>2</v>
      </c>
      <c r="E514" s="153">
        <v>20000</v>
      </c>
      <c r="F514" s="167"/>
      <c r="G514" s="5"/>
    </row>
    <row r="515" spans="1:7" ht="23.25">
      <c r="A515" s="5" t="s">
        <v>1606</v>
      </c>
      <c r="B515" s="150" t="s">
        <v>1457</v>
      </c>
      <c r="C515" s="151" t="s">
        <v>728</v>
      </c>
      <c r="D515" s="152">
        <v>6</v>
      </c>
      <c r="E515" s="153">
        <v>50000</v>
      </c>
      <c r="F515" s="161">
        <v>150000</v>
      </c>
      <c r="G515" s="5"/>
    </row>
    <row r="516" spans="1:7" ht="23.25">
      <c r="A516" s="5" t="s">
        <v>1606</v>
      </c>
      <c r="B516" s="163" t="s">
        <v>1459</v>
      </c>
      <c r="C516" s="164" t="s">
        <v>1460</v>
      </c>
      <c r="D516" s="165">
        <v>6</v>
      </c>
      <c r="E516" s="235" t="s">
        <v>1461</v>
      </c>
      <c r="F516" s="161">
        <v>30000</v>
      </c>
      <c r="G516" s="5"/>
    </row>
    <row r="517" spans="1:7" ht="23.25">
      <c r="A517" s="5" t="s">
        <v>1606</v>
      </c>
      <c r="B517" s="236" t="s">
        <v>1391</v>
      </c>
      <c r="C517" s="237" t="s">
        <v>1392</v>
      </c>
      <c r="D517" s="165">
        <v>6</v>
      </c>
      <c r="E517" s="235">
        <v>5000</v>
      </c>
      <c r="F517" s="154" t="s">
        <v>1393</v>
      </c>
      <c r="G517" s="5"/>
    </row>
    <row r="518" spans="1:7" ht="23.25">
      <c r="B518" s="300" t="s">
        <v>1265</v>
      </c>
      <c r="C518" s="301"/>
      <c r="D518" s="301"/>
      <c r="E518" s="302"/>
      <c r="F518" s="167"/>
      <c r="G518" s="5"/>
    </row>
    <row r="519" spans="1:7" ht="23.25">
      <c r="A519" s="5" t="s">
        <v>1606</v>
      </c>
      <c r="B519" s="130" t="s">
        <v>1266</v>
      </c>
      <c r="C519" s="150" t="s">
        <v>1357</v>
      </c>
      <c r="D519" s="152">
        <v>1</v>
      </c>
      <c r="E519" s="160">
        <v>120000</v>
      </c>
      <c r="F519" s="153">
        <v>600000</v>
      </c>
      <c r="G519" s="5"/>
    </row>
    <row r="520" spans="1:7" ht="23.25">
      <c r="A520" s="5" t="s">
        <v>1606</v>
      </c>
      <c r="B520" s="150" t="s">
        <v>1267</v>
      </c>
      <c r="C520" s="150" t="s">
        <v>1358</v>
      </c>
      <c r="D520" s="152">
        <v>1</v>
      </c>
      <c r="E520" s="160">
        <v>100000</v>
      </c>
      <c r="F520" s="153">
        <v>400000</v>
      </c>
      <c r="G520" s="5"/>
    </row>
    <row r="521" spans="1:7" ht="23.25">
      <c r="B521" s="297" t="s">
        <v>1230</v>
      </c>
      <c r="C521" s="298"/>
      <c r="D521" s="298"/>
      <c r="E521" s="299"/>
      <c r="F521" s="137"/>
      <c r="G521" s="5"/>
    </row>
    <row r="522" spans="1:7" ht="23.25">
      <c r="A522" s="41" t="s">
        <v>1922</v>
      </c>
      <c r="B522" s="150" t="s">
        <v>795</v>
      </c>
      <c r="C522" s="151" t="s">
        <v>872</v>
      </c>
      <c r="D522" s="152">
        <v>2</v>
      </c>
      <c r="E522" s="153">
        <v>60000</v>
      </c>
      <c r="F522" s="194" t="s">
        <v>1069</v>
      </c>
      <c r="G522" s="5"/>
    </row>
    <row r="523" spans="1:7" ht="23.25">
      <c r="A523" s="41" t="s">
        <v>1923</v>
      </c>
      <c r="B523" s="150" t="s">
        <v>796</v>
      </c>
      <c r="C523" s="151" t="s">
        <v>872</v>
      </c>
      <c r="D523" s="152">
        <v>1</v>
      </c>
      <c r="E523" s="153">
        <v>60000</v>
      </c>
      <c r="F523" s="194" t="s">
        <v>918</v>
      </c>
      <c r="G523" s="5"/>
    </row>
    <row r="524" spans="1:7" ht="23.25">
      <c r="A524" s="5" t="s">
        <v>1606</v>
      </c>
      <c r="B524" s="150" t="s">
        <v>797</v>
      </c>
      <c r="C524" s="151" t="s">
        <v>872</v>
      </c>
      <c r="D524" s="152">
        <v>2</v>
      </c>
      <c r="E524" s="153">
        <v>60000</v>
      </c>
      <c r="F524" s="194" t="s">
        <v>918</v>
      </c>
      <c r="G524" s="5"/>
    </row>
    <row r="525" spans="1:7">
      <c r="G525" s="5"/>
    </row>
    <row r="526" spans="1:7">
      <c r="G526" s="5"/>
    </row>
    <row r="527" spans="1:7">
      <c r="G527" s="5"/>
    </row>
    <row r="528" spans="1:7">
      <c r="G528" s="5"/>
    </row>
    <row r="529" spans="1:7">
      <c r="G529" s="5"/>
    </row>
    <row r="530" spans="1:7">
      <c r="G530" s="5"/>
    </row>
    <row r="531" spans="1:7">
      <c r="G531" s="5"/>
    </row>
    <row r="532" spans="1:7">
      <c r="G532" s="5"/>
    </row>
    <row r="533" spans="1:7">
      <c r="G533" s="5"/>
    </row>
    <row r="534" spans="1:7">
      <c r="G534" s="5"/>
    </row>
    <row r="535" spans="1:7">
      <c r="G535" s="5"/>
    </row>
    <row r="536" spans="1:7">
      <c r="G536" s="5"/>
    </row>
    <row r="537" spans="1:7" ht="23.25">
      <c r="B537" s="308" t="s">
        <v>1252</v>
      </c>
      <c r="C537" s="308"/>
      <c r="D537" s="308"/>
      <c r="E537" s="308"/>
      <c r="F537" s="154"/>
      <c r="G537" s="5"/>
    </row>
    <row r="538" spans="1:7" ht="23.25">
      <c r="A538" s="5" t="s">
        <v>1606</v>
      </c>
      <c r="B538" s="146" t="s">
        <v>788</v>
      </c>
      <c r="C538" s="138" t="s">
        <v>244</v>
      </c>
      <c r="D538" s="139">
        <v>5</v>
      </c>
      <c r="E538" s="157">
        <v>15000</v>
      </c>
      <c r="F538" s="154"/>
      <c r="G538" s="5"/>
    </row>
    <row r="539" spans="1:7" ht="23.25">
      <c r="A539" s="5" t="s">
        <v>1606</v>
      </c>
      <c r="B539" s="150" t="s">
        <v>528</v>
      </c>
      <c r="C539" s="151" t="s">
        <v>1924</v>
      </c>
      <c r="D539" s="152">
        <v>1</v>
      </c>
      <c r="E539" s="153">
        <v>20000</v>
      </c>
      <c r="F539" s="154"/>
      <c r="G539" s="5"/>
    </row>
    <row r="540" spans="1:7" ht="23.25">
      <c r="A540" s="5" t="s">
        <v>1606</v>
      </c>
      <c r="B540" s="150" t="s">
        <v>527</v>
      </c>
      <c r="C540" s="151" t="s">
        <v>1925</v>
      </c>
      <c r="D540" s="152">
        <v>1</v>
      </c>
      <c r="E540" s="153">
        <v>10000</v>
      </c>
      <c r="F540" s="154"/>
      <c r="G540" s="5"/>
    </row>
    <row r="541" spans="1:7" ht="23.25">
      <c r="A541" s="5" t="s">
        <v>1606</v>
      </c>
      <c r="B541" s="150" t="s">
        <v>21</v>
      </c>
      <c r="C541" s="151" t="s">
        <v>1925</v>
      </c>
      <c r="D541" s="152">
        <v>1</v>
      </c>
      <c r="E541" s="153">
        <v>10000</v>
      </c>
      <c r="F541" s="154"/>
      <c r="G541" s="5"/>
    </row>
    <row r="542" spans="1:7" ht="23.25">
      <c r="A542" s="41" t="s">
        <v>1927</v>
      </c>
      <c r="B542" s="150" t="s">
        <v>23</v>
      </c>
      <c r="C542" s="151" t="s">
        <v>1926</v>
      </c>
      <c r="D542" s="152">
        <v>2</v>
      </c>
      <c r="E542" s="153">
        <v>10000</v>
      </c>
      <c r="F542" s="154"/>
      <c r="G542" s="5"/>
    </row>
    <row r="543" spans="1:7" ht="23.25">
      <c r="A543" s="5" t="s">
        <v>1606</v>
      </c>
      <c r="B543" s="150" t="s">
        <v>517</v>
      </c>
      <c r="C543" s="151" t="s">
        <v>1928</v>
      </c>
      <c r="D543" s="152">
        <v>1</v>
      </c>
      <c r="E543" s="153">
        <v>10000</v>
      </c>
      <c r="F543" s="154"/>
      <c r="G543" s="5"/>
    </row>
    <row r="544" spans="1:7" ht="23.25">
      <c r="A544" s="41" t="s">
        <v>1930</v>
      </c>
      <c r="B544" s="150" t="s">
        <v>22</v>
      </c>
      <c r="C544" s="151" t="s">
        <v>1929</v>
      </c>
      <c r="D544" s="152">
        <v>1</v>
      </c>
      <c r="E544" s="153">
        <v>10000</v>
      </c>
      <c r="F544" s="154"/>
      <c r="G544" s="5"/>
    </row>
    <row r="545" spans="1:7" ht="23.25">
      <c r="A545" s="5" t="s">
        <v>1606</v>
      </c>
      <c r="B545" s="150" t="s">
        <v>530</v>
      </c>
      <c r="C545" s="151" t="s">
        <v>1931</v>
      </c>
      <c r="D545" s="152">
        <v>1</v>
      </c>
      <c r="E545" s="153">
        <v>10000</v>
      </c>
      <c r="F545" s="154"/>
      <c r="G545" s="5"/>
    </row>
    <row r="546" spans="1:7" ht="23.25">
      <c r="A546" s="5" t="s">
        <v>1606</v>
      </c>
      <c r="B546" s="150" t="s">
        <v>529</v>
      </c>
      <c r="C546" s="151" t="s">
        <v>1932</v>
      </c>
      <c r="D546" s="152">
        <v>1</v>
      </c>
      <c r="E546" s="153">
        <v>10000</v>
      </c>
      <c r="F546" s="154"/>
      <c r="G546" s="5"/>
    </row>
    <row r="547" spans="1:7" ht="23.25">
      <c r="A547" s="41" t="s">
        <v>1933</v>
      </c>
      <c r="B547" s="150" t="s">
        <v>515</v>
      </c>
      <c r="C547" s="151" t="s">
        <v>1934</v>
      </c>
      <c r="D547" s="152">
        <v>1</v>
      </c>
      <c r="E547" s="153">
        <v>10000</v>
      </c>
      <c r="F547" s="154"/>
      <c r="G547" s="5"/>
    </row>
    <row r="548" spans="1:7" ht="23.25">
      <c r="A548" s="41" t="s">
        <v>1935</v>
      </c>
      <c r="B548" s="150" t="s">
        <v>19</v>
      </c>
      <c r="C548" s="151" t="s">
        <v>1934</v>
      </c>
      <c r="D548" s="152">
        <v>2</v>
      </c>
      <c r="E548" s="153">
        <v>10000</v>
      </c>
      <c r="F548" s="154"/>
      <c r="G548" s="5"/>
    </row>
    <row r="549" spans="1:7" ht="23.25">
      <c r="A549" s="41" t="s">
        <v>1936</v>
      </c>
      <c r="B549" s="150" t="s">
        <v>948</v>
      </c>
      <c r="C549" s="151" t="s">
        <v>1934</v>
      </c>
      <c r="D549" s="152">
        <v>1</v>
      </c>
      <c r="E549" s="153">
        <v>10000</v>
      </c>
      <c r="F549" s="154"/>
      <c r="G549" s="5"/>
    </row>
    <row r="550" spans="1:7" ht="23.25">
      <c r="A550" s="41" t="s">
        <v>1936</v>
      </c>
      <c r="B550" s="150" t="s">
        <v>225</v>
      </c>
      <c r="C550" s="151" t="s">
        <v>1934</v>
      </c>
      <c r="D550" s="152">
        <v>1</v>
      </c>
      <c r="E550" s="153">
        <v>10000</v>
      </c>
      <c r="F550" s="154"/>
      <c r="G550" s="5"/>
    </row>
    <row r="551" spans="1:7" ht="23.25">
      <c r="A551" s="5" t="s">
        <v>1606</v>
      </c>
      <c r="B551" s="150" t="s">
        <v>516</v>
      </c>
      <c r="C551" s="151" t="s">
        <v>1937</v>
      </c>
      <c r="D551" s="152">
        <v>1</v>
      </c>
      <c r="E551" s="153">
        <v>10000</v>
      </c>
      <c r="F551" s="154"/>
      <c r="G551" s="5"/>
    </row>
    <row r="552" spans="1:7" ht="23.25">
      <c r="A552" s="41" t="s">
        <v>1938</v>
      </c>
      <c r="B552" s="150" t="s">
        <v>20</v>
      </c>
      <c r="C552" s="151" t="s">
        <v>1937</v>
      </c>
      <c r="D552" s="152">
        <v>2</v>
      </c>
      <c r="E552" s="153">
        <v>10000</v>
      </c>
      <c r="F552" s="154"/>
      <c r="G552" s="5"/>
    </row>
    <row r="553" spans="1:7" ht="23.25">
      <c r="A553" s="5" t="s">
        <v>1606</v>
      </c>
      <c r="B553" s="150" t="s">
        <v>226</v>
      </c>
      <c r="C553" s="151" t="s">
        <v>1934</v>
      </c>
      <c r="D553" s="152">
        <v>1</v>
      </c>
      <c r="E553" s="153">
        <v>10000</v>
      </c>
      <c r="F553" s="154"/>
      <c r="G553" s="5"/>
    </row>
    <row r="554" spans="1:7" ht="23.25">
      <c r="A554" s="5" t="s">
        <v>1606</v>
      </c>
      <c r="B554" s="150" t="s">
        <v>949</v>
      </c>
      <c r="C554" s="151" t="s">
        <v>1934</v>
      </c>
      <c r="D554" s="152">
        <v>2</v>
      </c>
      <c r="E554" s="153">
        <v>10000</v>
      </c>
      <c r="F554" s="154"/>
      <c r="G554" s="5"/>
    </row>
    <row r="555" spans="1:7" ht="23.25">
      <c r="A555" s="5" t="s">
        <v>1606</v>
      </c>
      <c r="B555" s="150" t="s">
        <v>518</v>
      </c>
      <c r="C555" s="151" t="s">
        <v>1939</v>
      </c>
      <c r="D555" s="152">
        <v>3</v>
      </c>
      <c r="E555" s="153">
        <v>60000</v>
      </c>
      <c r="F555" s="154"/>
      <c r="G555" s="5"/>
    </row>
    <row r="556" spans="1:7" ht="23.25">
      <c r="A556" s="5" t="s">
        <v>1606</v>
      </c>
      <c r="B556" s="150" t="s">
        <v>953</v>
      </c>
      <c r="C556" s="151" t="s">
        <v>1940</v>
      </c>
      <c r="D556" s="152">
        <v>1</v>
      </c>
      <c r="E556" s="153">
        <v>20000</v>
      </c>
      <c r="F556" s="154"/>
      <c r="G556" s="5"/>
    </row>
    <row r="557" spans="1:7" ht="23.25">
      <c r="A557" s="5" t="s">
        <v>1941</v>
      </c>
      <c r="B557" s="150" t="s">
        <v>555</v>
      </c>
      <c r="C557" s="151" t="s">
        <v>1942</v>
      </c>
      <c r="D557" s="152">
        <v>1</v>
      </c>
      <c r="E557" s="153">
        <v>20000</v>
      </c>
      <c r="F557" s="154"/>
      <c r="G557" s="5"/>
    </row>
    <row r="558" spans="1:7" ht="23.25">
      <c r="A558" s="5" t="s">
        <v>1606</v>
      </c>
      <c r="B558" s="150" t="s">
        <v>950</v>
      </c>
      <c r="C558" s="151" t="s">
        <v>951</v>
      </c>
      <c r="D558" s="152">
        <v>1</v>
      </c>
      <c r="E558" s="153">
        <v>30000</v>
      </c>
      <c r="F558" s="154"/>
      <c r="G558" s="5"/>
    </row>
    <row r="559" spans="1:7" ht="23.25">
      <c r="A559" s="5" t="s">
        <v>1606</v>
      </c>
      <c r="B559" s="150" t="s">
        <v>950</v>
      </c>
      <c r="C559" s="151" t="s">
        <v>208</v>
      </c>
      <c r="D559" s="152">
        <v>1</v>
      </c>
      <c r="E559" s="153">
        <v>30000</v>
      </c>
      <c r="F559" s="154"/>
      <c r="G559" s="5"/>
    </row>
    <row r="560" spans="1:7" ht="23.25">
      <c r="A560" s="5" t="s">
        <v>1606</v>
      </c>
      <c r="B560" s="150" t="s">
        <v>952</v>
      </c>
      <c r="C560" s="151" t="s">
        <v>526</v>
      </c>
      <c r="D560" s="152">
        <v>1</v>
      </c>
      <c r="E560" s="155"/>
      <c r="F560" s="154"/>
      <c r="G560" s="5"/>
    </row>
    <row r="561" spans="1:7" ht="23.25">
      <c r="A561" s="5" t="s">
        <v>1606</v>
      </c>
      <c r="B561" s="150" t="s">
        <v>1056</v>
      </c>
      <c r="C561" s="151" t="s">
        <v>1057</v>
      </c>
      <c r="D561" s="152">
        <v>5</v>
      </c>
      <c r="E561" s="153">
        <v>10000</v>
      </c>
      <c r="F561" s="154"/>
      <c r="G561" s="5"/>
    </row>
    <row r="562" spans="1:7" ht="23.25">
      <c r="A562" s="41" t="s">
        <v>1945</v>
      </c>
      <c r="B562" s="285" t="s">
        <v>1943</v>
      </c>
      <c r="C562" s="286"/>
      <c r="D562" s="287"/>
      <c r="E562" s="288"/>
      <c r="F562" s="196"/>
      <c r="G562" s="5"/>
    </row>
    <row r="563" spans="1:7" ht="23.25">
      <c r="B563" s="285" t="s">
        <v>1944</v>
      </c>
      <c r="C563" s="286"/>
      <c r="D563" s="287">
        <v>2</v>
      </c>
      <c r="E563" s="288"/>
      <c r="F563" s="196"/>
      <c r="G563" s="5"/>
    </row>
    <row r="564" spans="1:7" ht="23.25">
      <c r="B564" s="309" t="s">
        <v>1258</v>
      </c>
      <c r="C564" s="310"/>
      <c r="D564" s="310"/>
      <c r="E564" s="311"/>
      <c r="F564" s="196"/>
      <c r="G564" s="5"/>
    </row>
    <row r="565" spans="1:7" ht="23.25">
      <c r="A565" s="41" t="s">
        <v>1946</v>
      </c>
      <c r="B565" s="150" t="s">
        <v>254</v>
      </c>
      <c r="C565" s="151" t="s">
        <v>11</v>
      </c>
      <c r="D565" s="152">
        <v>30</v>
      </c>
      <c r="E565" s="155">
        <v>2500</v>
      </c>
      <c r="F565" s="154"/>
      <c r="G565" s="5"/>
    </row>
    <row r="566" spans="1:7" ht="23.25">
      <c r="A566" s="5" t="s">
        <v>1606</v>
      </c>
      <c r="B566" s="150" t="s">
        <v>254</v>
      </c>
      <c r="C566" s="151" t="s">
        <v>217</v>
      </c>
      <c r="D566" s="152">
        <v>25</v>
      </c>
      <c r="E566" s="155">
        <v>2500</v>
      </c>
      <c r="F566" s="154"/>
      <c r="G566" s="5"/>
    </row>
    <row r="567" spans="1:7" ht="23.25">
      <c r="A567" s="5" t="s">
        <v>1606</v>
      </c>
      <c r="B567" s="150" t="s">
        <v>254</v>
      </c>
      <c r="C567" s="151" t="s">
        <v>520</v>
      </c>
      <c r="D567" s="152">
        <v>50</v>
      </c>
      <c r="E567" s="155">
        <v>2500</v>
      </c>
      <c r="F567" s="154"/>
      <c r="G567" s="5"/>
    </row>
    <row r="568" spans="1:7" ht="23.25">
      <c r="A568" s="5" t="s">
        <v>1606</v>
      </c>
      <c r="B568" s="150" t="s">
        <v>254</v>
      </c>
      <c r="C568" s="151" t="s">
        <v>509</v>
      </c>
      <c r="D568" s="152">
        <v>37</v>
      </c>
      <c r="E568" s="155">
        <v>2500</v>
      </c>
      <c r="F568" s="154"/>
      <c r="G568" s="5"/>
    </row>
    <row r="569" spans="1:7" ht="23.25">
      <c r="A569" s="5" t="s">
        <v>1606</v>
      </c>
      <c r="B569" s="150" t="s">
        <v>254</v>
      </c>
      <c r="C569" s="151" t="s">
        <v>521</v>
      </c>
      <c r="D569" s="152">
        <v>20</v>
      </c>
      <c r="E569" s="155">
        <v>2500</v>
      </c>
      <c r="F569" s="154"/>
      <c r="G569" s="5"/>
    </row>
    <row r="570" spans="1:7" ht="23.25">
      <c r="A570" s="5" t="s">
        <v>1606</v>
      </c>
      <c r="B570" s="150" t="s">
        <v>254</v>
      </c>
      <c r="C570" s="151" t="s">
        <v>523</v>
      </c>
      <c r="D570" s="152">
        <v>50</v>
      </c>
      <c r="E570" s="155">
        <v>2500</v>
      </c>
      <c r="F570" s="154"/>
      <c r="G570" s="5"/>
    </row>
    <row r="571" spans="1:7" ht="23.25">
      <c r="A571" s="41" t="s">
        <v>1947</v>
      </c>
      <c r="B571" s="150" t="s">
        <v>254</v>
      </c>
      <c r="C571" s="151" t="s">
        <v>13</v>
      </c>
      <c r="D571" s="152">
        <v>51</v>
      </c>
      <c r="E571" s="155">
        <v>2500</v>
      </c>
      <c r="F571" s="154"/>
      <c r="G571" s="5"/>
    </row>
    <row r="572" spans="1:7" ht="23.25">
      <c r="A572" s="5" t="s">
        <v>1606</v>
      </c>
      <c r="B572" s="150" t="s">
        <v>254</v>
      </c>
      <c r="C572" s="151" t="s">
        <v>24</v>
      </c>
      <c r="D572" s="152">
        <v>49</v>
      </c>
      <c r="E572" s="155">
        <v>2500</v>
      </c>
      <c r="F572" s="154"/>
      <c r="G572" s="5"/>
    </row>
    <row r="573" spans="1:7" ht="23.25">
      <c r="A573" s="41" t="s">
        <v>1935</v>
      </c>
      <c r="B573" s="150" t="s">
        <v>254</v>
      </c>
      <c r="C573" s="151" t="s">
        <v>25</v>
      </c>
      <c r="D573" s="152">
        <v>40</v>
      </c>
      <c r="E573" s="155">
        <v>2500</v>
      </c>
      <c r="F573" s="154"/>
      <c r="G573" s="5"/>
    </row>
    <row r="574" spans="1:7" ht="23.25">
      <c r="A574" s="41" t="s">
        <v>1948</v>
      </c>
      <c r="B574" s="150" t="s">
        <v>254</v>
      </c>
      <c r="C574" s="151" t="s">
        <v>289</v>
      </c>
      <c r="D574" s="152">
        <v>77</v>
      </c>
      <c r="E574" s="155">
        <v>2500</v>
      </c>
      <c r="F574" s="154"/>
      <c r="G574" s="5"/>
    </row>
    <row r="575" spans="1:7" ht="23.25">
      <c r="A575" s="5" t="s">
        <v>1606</v>
      </c>
      <c r="B575" s="150" t="s">
        <v>510</v>
      </c>
      <c r="C575" s="151" t="s">
        <v>519</v>
      </c>
      <c r="D575" s="152">
        <v>20</v>
      </c>
      <c r="E575" s="155">
        <v>2500</v>
      </c>
      <c r="F575" s="154"/>
      <c r="G575" s="5"/>
    </row>
    <row r="576" spans="1:7" ht="23.25">
      <c r="A576" s="41" t="s">
        <v>1949</v>
      </c>
      <c r="B576" s="150" t="s">
        <v>510</v>
      </c>
      <c r="C576" s="151" t="s">
        <v>945</v>
      </c>
      <c r="D576" s="152">
        <v>30</v>
      </c>
      <c r="E576" s="155">
        <v>2500</v>
      </c>
      <c r="F576" s="154"/>
      <c r="G576" s="5"/>
    </row>
    <row r="577" spans="1:7" ht="23.25">
      <c r="A577" s="5" t="s">
        <v>1606</v>
      </c>
      <c r="B577" s="150" t="s">
        <v>510</v>
      </c>
      <c r="C577" s="151" t="s">
        <v>14</v>
      </c>
      <c r="D577" s="152">
        <v>78</v>
      </c>
      <c r="E577" s="155">
        <v>2500</v>
      </c>
      <c r="F577" s="154"/>
      <c r="G577" s="5"/>
    </row>
    <row r="578" spans="1:7" ht="23.25">
      <c r="A578" s="41" t="s">
        <v>1950</v>
      </c>
      <c r="B578" s="150" t="s">
        <v>283</v>
      </c>
      <c r="C578" s="151" t="s">
        <v>522</v>
      </c>
      <c r="D578" s="152">
        <v>29</v>
      </c>
      <c r="E578" s="155">
        <v>2500</v>
      </c>
      <c r="F578" s="154"/>
      <c r="G578" s="5"/>
    </row>
    <row r="579" spans="1:7" ht="23.25">
      <c r="A579" s="41" t="s">
        <v>1951</v>
      </c>
      <c r="B579" s="150" t="s">
        <v>511</v>
      </c>
      <c r="C579" s="151" t="s">
        <v>26</v>
      </c>
      <c r="D579" s="152">
        <v>55</v>
      </c>
      <c r="E579" s="155">
        <v>2500</v>
      </c>
      <c r="F579" s="154"/>
      <c r="G579" s="5"/>
    </row>
    <row r="580" spans="1:7" ht="23.25">
      <c r="B580" s="308" t="s">
        <v>1259</v>
      </c>
      <c r="C580" s="308"/>
      <c r="D580" s="308"/>
      <c r="E580" s="308"/>
      <c r="F580" s="154"/>
      <c r="G580" s="5"/>
    </row>
    <row r="581" spans="1:7" ht="23.25">
      <c r="A581" s="5" t="s">
        <v>1606</v>
      </c>
      <c r="B581" s="150" t="s">
        <v>255</v>
      </c>
      <c r="C581" s="151" t="s">
        <v>24</v>
      </c>
      <c r="D581" s="152">
        <v>15</v>
      </c>
      <c r="E581" s="155">
        <v>2000</v>
      </c>
      <c r="F581" s="154"/>
      <c r="G581" s="5"/>
    </row>
    <row r="582" spans="1:7" ht="23.25">
      <c r="A582" s="5" t="s">
        <v>1606</v>
      </c>
      <c r="B582" s="150" t="s">
        <v>255</v>
      </c>
      <c r="C582" s="151" t="s">
        <v>512</v>
      </c>
      <c r="D582" s="152">
        <v>13</v>
      </c>
      <c r="E582" s="155">
        <v>2000</v>
      </c>
      <c r="F582" s="154"/>
      <c r="G582" s="5"/>
    </row>
    <row r="583" spans="1:7" ht="23.25">
      <c r="A583" s="5" t="s">
        <v>1606</v>
      </c>
      <c r="B583" s="150" t="s">
        <v>255</v>
      </c>
      <c r="C583" s="151" t="s">
        <v>217</v>
      </c>
      <c r="D583" s="152">
        <v>7</v>
      </c>
      <c r="E583" s="155">
        <v>2000</v>
      </c>
      <c r="F583" s="154"/>
      <c r="G583" s="5"/>
    </row>
    <row r="584" spans="1:7" ht="23.25">
      <c r="A584" s="5" t="s">
        <v>1606</v>
      </c>
      <c r="B584" s="150" t="s">
        <v>255</v>
      </c>
      <c r="C584" s="151" t="s">
        <v>525</v>
      </c>
      <c r="D584" s="152">
        <v>24</v>
      </c>
      <c r="E584" s="155">
        <v>2000</v>
      </c>
      <c r="F584" s="154"/>
      <c r="G584" s="5"/>
    </row>
    <row r="585" spans="1:7" ht="23.25">
      <c r="A585" s="5" t="s">
        <v>1606</v>
      </c>
      <c r="B585" s="150" t="s">
        <v>255</v>
      </c>
      <c r="C585" s="151" t="s">
        <v>13</v>
      </c>
      <c r="D585" s="152">
        <v>12</v>
      </c>
      <c r="E585" s="155">
        <v>2000</v>
      </c>
      <c r="F585" s="154"/>
      <c r="G585" s="5"/>
    </row>
    <row r="586" spans="1:7" ht="23.25">
      <c r="A586" s="5" t="s">
        <v>1606</v>
      </c>
      <c r="B586" s="150" t="s">
        <v>255</v>
      </c>
      <c r="C586" s="151" t="s">
        <v>26</v>
      </c>
      <c r="D586" s="152">
        <v>8</v>
      </c>
      <c r="E586" s="155">
        <v>2000</v>
      </c>
      <c r="F586" s="154"/>
      <c r="G586" s="5"/>
    </row>
    <row r="587" spans="1:7" ht="23.25">
      <c r="B587" s="297" t="s">
        <v>1251</v>
      </c>
      <c r="C587" s="298"/>
      <c r="D587" s="298"/>
      <c r="E587" s="299"/>
      <c r="F587" s="159"/>
      <c r="G587" s="5"/>
    </row>
    <row r="588" spans="1:7" ht="23.25">
      <c r="A588" s="5" t="s">
        <v>1606</v>
      </c>
      <c r="B588" s="150" t="s">
        <v>1150</v>
      </c>
      <c r="C588" s="151" t="s">
        <v>1153</v>
      </c>
      <c r="D588" s="152">
        <v>2</v>
      </c>
      <c r="E588" s="153">
        <v>20000</v>
      </c>
      <c r="F588" s="159"/>
      <c r="G588" s="5"/>
    </row>
    <row r="589" spans="1:7" ht="23.25">
      <c r="A589" s="5" t="s">
        <v>1606</v>
      </c>
      <c r="B589" s="150" t="s">
        <v>699</v>
      </c>
      <c r="C589" s="151" t="s">
        <v>698</v>
      </c>
      <c r="D589" s="152">
        <v>12</v>
      </c>
      <c r="E589" s="155">
        <v>100000</v>
      </c>
      <c r="F589" s="154"/>
      <c r="G589" s="5"/>
    </row>
    <row r="590" spans="1:7" ht="23.25">
      <c r="A590" s="5" t="s">
        <v>1606</v>
      </c>
      <c r="B590" s="150" t="s">
        <v>298</v>
      </c>
      <c r="C590" s="197" t="s">
        <v>694</v>
      </c>
      <c r="D590" s="198">
        <v>1</v>
      </c>
      <c r="E590" s="199">
        <v>120000</v>
      </c>
      <c r="F590" s="200">
        <v>152</v>
      </c>
      <c r="G590" s="5"/>
    </row>
    <row r="591" spans="1:7" ht="23.25">
      <c r="A591" s="41"/>
      <c r="B591" s="163" t="s">
        <v>298</v>
      </c>
      <c r="C591" s="286"/>
      <c r="D591" s="287"/>
      <c r="E591" s="289"/>
      <c r="F591" s="200"/>
      <c r="G591" s="5"/>
    </row>
    <row r="592" spans="1:7" ht="23.25">
      <c r="A592" s="41"/>
      <c r="B592" s="163" t="s">
        <v>1952</v>
      </c>
      <c r="C592" s="286"/>
      <c r="D592" s="287"/>
      <c r="E592" s="289"/>
      <c r="F592" s="200"/>
      <c r="G592" s="5"/>
    </row>
    <row r="593" spans="1:7" ht="23.25">
      <c r="A593" s="41"/>
      <c r="B593" s="163" t="s">
        <v>1953</v>
      </c>
      <c r="C593" s="286"/>
      <c r="D593" s="287"/>
      <c r="E593" s="289"/>
      <c r="F593" s="200"/>
      <c r="G593" s="5"/>
    </row>
    <row r="594" spans="1:7" ht="20.100000000000001" customHeight="1">
      <c r="B594" s="300" t="s">
        <v>1247</v>
      </c>
      <c r="C594" s="301"/>
      <c r="D594" s="301"/>
      <c r="E594" s="302"/>
      <c r="F594" s="154"/>
      <c r="G594" s="5"/>
    </row>
    <row r="595" spans="1:7" ht="23.25">
      <c r="A595" s="5" t="s">
        <v>1606</v>
      </c>
      <c r="B595" s="150" t="s">
        <v>130</v>
      </c>
      <c r="C595" s="151" t="s">
        <v>129</v>
      </c>
      <c r="D595" s="152">
        <v>1</v>
      </c>
      <c r="E595" s="155">
        <v>80000</v>
      </c>
      <c r="F595" s="137"/>
      <c r="G595" s="5"/>
    </row>
    <row r="596" spans="1:7" ht="23.25">
      <c r="A596" s="5" t="s">
        <v>1606</v>
      </c>
      <c r="B596" s="150" t="s">
        <v>130</v>
      </c>
      <c r="C596" s="151" t="s">
        <v>210</v>
      </c>
      <c r="D596" s="152">
        <v>1</v>
      </c>
      <c r="E596" s="155">
        <v>60000</v>
      </c>
      <c r="F596" s="137"/>
      <c r="G596" s="5"/>
    </row>
    <row r="597" spans="1:7" ht="23.25">
      <c r="A597" s="41" t="s">
        <v>1954</v>
      </c>
      <c r="B597" s="150" t="s">
        <v>1956</v>
      </c>
      <c r="C597" s="151" t="s">
        <v>1955</v>
      </c>
      <c r="D597" s="152">
        <v>2</v>
      </c>
      <c r="E597" s="155">
        <v>30000</v>
      </c>
      <c r="F597" s="137"/>
      <c r="G597" s="5"/>
    </row>
    <row r="598" spans="1:7" ht="23.25">
      <c r="A598" s="41"/>
      <c r="B598" s="150" t="s">
        <v>1956</v>
      </c>
      <c r="C598" s="164" t="s">
        <v>1957</v>
      </c>
      <c r="D598" s="165">
        <v>4</v>
      </c>
      <c r="E598" s="272"/>
      <c r="F598" s="137"/>
      <c r="G598" s="5"/>
    </row>
    <row r="599" spans="1:7" ht="23.25">
      <c r="B599" s="297" t="s">
        <v>1249</v>
      </c>
      <c r="C599" s="298"/>
      <c r="D599" s="298"/>
      <c r="E599" s="299"/>
      <c r="F599" s="137"/>
      <c r="G599" s="5"/>
    </row>
    <row r="600" spans="1:7" ht="23.25">
      <c r="A600" s="5" t="s">
        <v>1606</v>
      </c>
      <c r="B600" s="150" t="s">
        <v>990</v>
      </c>
      <c r="C600" s="151" t="s">
        <v>1366</v>
      </c>
      <c r="D600" s="152">
        <v>10</v>
      </c>
      <c r="E600" s="153">
        <v>30000</v>
      </c>
      <c r="F600" s="137"/>
      <c r="G600" s="5"/>
    </row>
    <row r="601" spans="1:7" ht="23.25">
      <c r="A601" s="5" t="s">
        <v>1606</v>
      </c>
      <c r="B601" s="150" t="s">
        <v>661</v>
      </c>
      <c r="C601" s="151" t="s">
        <v>1367</v>
      </c>
      <c r="D601" s="152">
        <v>9</v>
      </c>
      <c r="E601" s="153">
        <v>20000</v>
      </c>
      <c r="F601" s="137"/>
      <c r="G601" s="5"/>
    </row>
    <row r="602" spans="1:7" ht="23.25">
      <c r="A602" s="5" t="s">
        <v>1606</v>
      </c>
      <c r="B602" s="150" t="s">
        <v>832</v>
      </c>
      <c r="C602" s="151" t="s">
        <v>1008</v>
      </c>
      <c r="D602" s="152">
        <v>5</v>
      </c>
      <c r="E602" s="153">
        <v>5000</v>
      </c>
      <c r="F602" s="137"/>
      <c r="G602" s="5"/>
    </row>
    <row r="603" spans="1:7" ht="23.25">
      <c r="A603" s="5" t="s">
        <v>1606</v>
      </c>
      <c r="B603" s="150" t="s">
        <v>833</v>
      </c>
      <c r="C603" s="151" t="s">
        <v>1008</v>
      </c>
      <c r="D603" s="152">
        <v>19</v>
      </c>
      <c r="E603" s="153">
        <v>3000</v>
      </c>
      <c r="F603" s="137"/>
      <c r="G603" s="5"/>
    </row>
    <row r="604" spans="1:7" ht="23.25">
      <c r="A604" s="5" t="s">
        <v>1606</v>
      </c>
      <c r="B604" s="150" t="s">
        <v>1009</v>
      </c>
      <c r="C604" s="151" t="s">
        <v>1012</v>
      </c>
      <c r="D604" s="152">
        <v>6</v>
      </c>
      <c r="E604" s="161">
        <v>5000</v>
      </c>
      <c r="F604" s="137"/>
      <c r="G604" s="5"/>
    </row>
    <row r="605" spans="1:7" ht="23.25">
      <c r="A605" s="5" t="s">
        <v>1606</v>
      </c>
      <c r="B605" s="150" t="s">
        <v>1010</v>
      </c>
      <c r="C605" s="131" t="s">
        <v>1008</v>
      </c>
      <c r="D605" s="152">
        <v>1</v>
      </c>
      <c r="E605" s="153">
        <v>5000</v>
      </c>
      <c r="F605" s="137"/>
      <c r="G605" s="5"/>
    </row>
    <row r="606" spans="1:7" ht="23.25">
      <c r="A606" s="41" t="s">
        <v>1958</v>
      </c>
      <c r="B606" s="150" t="s">
        <v>1011</v>
      </c>
      <c r="C606" s="151" t="s">
        <v>1008</v>
      </c>
      <c r="D606" s="152">
        <v>2</v>
      </c>
      <c r="E606" s="153">
        <v>3000</v>
      </c>
      <c r="F606" s="137"/>
      <c r="G606" s="5"/>
    </row>
    <row r="607" spans="1:7" ht="23.25">
      <c r="B607" s="150"/>
      <c r="C607" s="151"/>
      <c r="D607" s="152"/>
      <c r="E607" s="153"/>
      <c r="F607" s="137"/>
      <c r="G607" s="5"/>
    </row>
    <row r="608" spans="1:7" ht="23.25">
      <c r="B608" s="300" t="s">
        <v>1385</v>
      </c>
      <c r="C608" s="302"/>
      <c r="D608" s="152"/>
      <c r="E608" s="153"/>
      <c r="F608" s="137"/>
      <c r="G608" s="5"/>
    </row>
    <row r="609" spans="1:7" ht="23.25">
      <c r="A609" s="5" t="s">
        <v>1606</v>
      </c>
      <c r="B609" s="150" t="s">
        <v>1384</v>
      </c>
      <c r="C609" s="150" t="s">
        <v>1386</v>
      </c>
      <c r="D609" s="152">
        <v>6</v>
      </c>
      <c r="E609" s="155">
        <v>15000</v>
      </c>
      <c r="F609" s="170">
        <v>40000</v>
      </c>
      <c r="G609" s="5"/>
    </row>
    <row r="610" spans="1:7" ht="23.25">
      <c r="B610" s="297" t="s">
        <v>1229</v>
      </c>
      <c r="C610" s="298"/>
      <c r="D610" s="298"/>
      <c r="E610" s="299"/>
      <c r="F610" s="147"/>
      <c r="G610" s="5"/>
    </row>
    <row r="611" spans="1:7" ht="18" customHeight="1">
      <c r="A611" s="5" t="s">
        <v>1606</v>
      </c>
      <c r="B611" s="201" t="s">
        <v>1217</v>
      </c>
      <c r="C611" s="151" t="s">
        <v>862</v>
      </c>
      <c r="D611" s="152">
        <v>10</v>
      </c>
      <c r="E611" s="153">
        <v>70000</v>
      </c>
      <c r="F611" s="147"/>
      <c r="G611" s="5"/>
    </row>
    <row r="612" spans="1:7" ht="18" customHeight="1">
      <c r="A612" s="41" t="s">
        <v>1959</v>
      </c>
      <c r="B612" s="150" t="s">
        <v>761</v>
      </c>
      <c r="C612" s="151" t="s">
        <v>863</v>
      </c>
      <c r="D612" s="152">
        <v>1</v>
      </c>
      <c r="E612" s="202">
        <v>60000</v>
      </c>
      <c r="F612" s="154" t="s">
        <v>1061</v>
      </c>
      <c r="G612" s="5"/>
    </row>
    <row r="613" spans="1:7" ht="18" customHeight="1">
      <c r="A613" s="41" t="s">
        <v>1959</v>
      </c>
      <c r="B613" s="150" t="s">
        <v>762</v>
      </c>
      <c r="C613" s="151" t="s">
        <v>864</v>
      </c>
      <c r="D613" s="152">
        <v>1</v>
      </c>
      <c r="E613" s="202">
        <v>50000</v>
      </c>
      <c r="F613" s="154" t="s">
        <v>1061</v>
      </c>
      <c r="G613" s="5"/>
    </row>
    <row r="614" spans="1:7" ht="18" customHeight="1">
      <c r="A614" s="41" t="s">
        <v>1959</v>
      </c>
      <c r="B614" s="150" t="s">
        <v>763</v>
      </c>
      <c r="C614" s="151" t="s">
        <v>865</v>
      </c>
      <c r="D614" s="152">
        <v>1</v>
      </c>
      <c r="E614" s="202">
        <v>50000</v>
      </c>
      <c r="F614" s="154" t="s">
        <v>1061</v>
      </c>
      <c r="G614" s="5"/>
    </row>
    <row r="615" spans="1:7" ht="18" customHeight="1">
      <c r="A615" s="41" t="s">
        <v>1959</v>
      </c>
      <c r="B615" s="150" t="s">
        <v>764</v>
      </c>
      <c r="C615" s="151" t="s">
        <v>863</v>
      </c>
      <c r="D615" s="152">
        <v>1</v>
      </c>
      <c r="E615" s="202">
        <v>60000</v>
      </c>
      <c r="F615" s="154" t="s">
        <v>1061</v>
      </c>
      <c r="G615" s="5"/>
    </row>
    <row r="616" spans="1:7" ht="18" customHeight="1">
      <c r="A616" s="41" t="s">
        <v>1959</v>
      </c>
      <c r="B616" s="150" t="s">
        <v>793</v>
      </c>
      <c r="C616" s="151" t="s">
        <v>864</v>
      </c>
      <c r="D616" s="152">
        <v>1</v>
      </c>
      <c r="E616" s="202">
        <v>50000</v>
      </c>
      <c r="F616" s="154" t="s">
        <v>1061</v>
      </c>
      <c r="G616" s="5"/>
    </row>
    <row r="617" spans="1:7" ht="18" customHeight="1">
      <c r="A617" s="41" t="s">
        <v>1959</v>
      </c>
      <c r="B617" s="150" t="s">
        <v>794</v>
      </c>
      <c r="C617" s="151" t="s">
        <v>865</v>
      </c>
      <c r="D617" s="152">
        <v>1</v>
      </c>
      <c r="E617" s="202">
        <v>50000</v>
      </c>
      <c r="F617" s="154" t="s">
        <v>1061</v>
      </c>
      <c r="G617" s="5"/>
    </row>
    <row r="618" spans="1:7" ht="18" customHeight="1">
      <c r="A618" s="41" t="s">
        <v>1959</v>
      </c>
      <c r="B618" s="150" t="s">
        <v>765</v>
      </c>
      <c r="C618" s="151" t="s">
        <v>863</v>
      </c>
      <c r="D618" s="152">
        <v>1</v>
      </c>
      <c r="E618" s="202">
        <v>60000</v>
      </c>
      <c r="F618" s="154" t="s">
        <v>1061</v>
      </c>
      <c r="G618" s="5"/>
    </row>
    <row r="619" spans="1:7" ht="18" customHeight="1">
      <c r="A619" s="41" t="s">
        <v>1959</v>
      </c>
      <c r="B619" s="150" t="s">
        <v>766</v>
      </c>
      <c r="C619" s="151" t="s">
        <v>864</v>
      </c>
      <c r="D619" s="152">
        <v>1</v>
      </c>
      <c r="E619" s="202">
        <v>50000</v>
      </c>
      <c r="F619" s="154" t="s">
        <v>1061</v>
      </c>
      <c r="G619" s="5"/>
    </row>
    <row r="620" spans="1:7" ht="18" customHeight="1">
      <c r="A620" s="41" t="s">
        <v>1959</v>
      </c>
      <c r="B620" s="150" t="s">
        <v>767</v>
      </c>
      <c r="C620" s="151" t="s">
        <v>865</v>
      </c>
      <c r="D620" s="152">
        <v>1</v>
      </c>
      <c r="E620" s="202">
        <v>50000</v>
      </c>
      <c r="F620" s="154" t="s">
        <v>1061</v>
      </c>
      <c r="G620" s="5"/>
    </row>
    <row r="621" spans="1:7" ht="18" customHeight="1">
      <c r="A621" s="41" t="s">
        <v>1606</v>
      </c>
      <c r="B621" s="150" t="s">
        <v>1218</v>
      </c>
      <c r="C621" s="151" t="s">
        <v>1062</v>
      </c>
      <c r="D621" s="152">
        <v>1</v>
      </c>
      <c r="E621" s="202">
        <v>70000</v>
      </c>
      <c r="F621" s="154"/>
      <c r="G621" s="5"/>
    </row>
    <row r="622" spans="1:7" ht="23.25">
      <c r="A622" s="41" t="s">
        <v>1606</v>
      </c>
      <c r="B622" s="150" t="s">
        <v>1219</v>
      </c>
      <c r="C622" s="151" t="s">
        <v>866</v>
      </c>
      <c r="D622" s="152">
        <v>1</v>
      </c>
      <c r="E622" s="202">
        <v>70000</v>
      </c>
      <c r="F622" s="154"/>
      <c r="G622" s="5"/>
    </row>
    <row r="623" spans="1:7" ht="23.25">
      <c r="A623" s="5" t="s">
        <v>1606</v>
      </c>
      <c r="B623" s="150" t="s">
        <v>458</v>
      </c>
      <c r="C623" s="151" t="s">
        <v>867</v>
      </c>
      <c r="D623" s="152">
        <v>1</v>
      </c>
      <c r="E623" s="153">
        <v>40000</v>
      </c>
      <c r="F623" s="154"/>
      <c r="G623" s="5"/>
    </row>
    <row r="624" spans="1:7" ht="23.25">
      <c r="A624" s="5" t="s">
        <v>1606</v>
      </c>
      <c r="B624" s="150" t="s">
        <v>331</v>
      </c>
      <c r="C624" s="151" t="s">
        <v>868</v>
      </c>
      <c r="D624" s="152">
        <v>1</v>
      </c>
      <c r="E624" s="153">
        <v>40000</v>
      </c>
      <c r="F624" s="154"/>
      <c r="G624" s="5"/>
    </row>
    <row r="625" spans="1:7" ht="23.25">
      <c r="A625" s="41" t="s">
        <v>1961</v>
      </c>
      <c r="B625" s="151" t="s">
        <v>1960</v>
      </c>
      <c r="C625" s="151" t="s">
        <v>1966</v>
      </c>
      <c r="D625" s="152">
        <v>1</v>
      </c>
      <c r="E625" s="153">
        <v>30000</v>
      </c>
      <c r="F625" s="290"/>
      <c r="G625" s="5"/>
    </row>
    <row r="626" spans="1:7" ht="23.25">
      <c r="A626" s="5" t="s">
        <v>1606</v>
      </c>
      <c r="B626" s="151" t="s">
        <v>8</v>
      </c>
      <c r="C626" s="151" t="s">
        <v>1106</v>
      </c>
      <c r="D626" s="152">
        <v>1</v>
      </c>
      <c r="E626" s="155">
        <v>35000</v>
      </c>
      <c r="F626" s="203"/>
      <c r="G626" s="5"/>
    </row>
    <row r="627" spans="1:7" ht="23.25">
      <c r="A627" s="5" t="s">
        <v>1606</v>
      </c>
      <c r="B627" s="151" t="s">
        <v>7</v>
      </c>
      <c r="C627" s="151" t="s">
        <v>1105</v>
      </c>
      <c r="D627" s="152">
        <v>1</v>
      </c>
      <c r="E627" s="155">
        <v>35000</v>
      </c>
      <c r="F627" s="203"/>
      <c r="G627" s="5"/>
    </row>
    <row r="628" spans="1:7" ht="23.25">
      <c r="A628" s="41" t="s">
        <v>1959</v>
      </c>
      <c r="B628" s="151" t="s">
        <v>237</v>
      </c>
      <c r="C628" s="151" t="s">
        <v>1107</v>
      </c>
      <c r="D628" s="152">
        <v>1</v>
      </c>
      <c r="E628" s="155">
        <v>35000</v>
      </c>
      <c r="F628" s="203"/>
      <c r="G628" s="5"/>
    </row>
    <row r="629" spans="1:7" ht="23.25">
      <c r="A629" s="41" t="s">
        <v>1959</v>
      </c>
      <c r="B629" s="151" t="s">
        <v>1221</v>
      </c>
      <c r="C629" s="151" t="s">
        <v>1225</v>
      </c>
      <c r="D629" s="152">
        <v>1</v>
      </c>
      <c r="E629" s="155">
        <v>35000</v>
      </c>
      <c r="F629" s="203"/>
      <c r="G629" s="5"/>
    </row>
    <row r="630" spans="1:7" ht="23.25">
      <c r="A630" s="41" t="s">
        <v>1959</v>
      </c>
      <c r="B630" s="151" t="s">
        <v>1222</v>
      </c>
      <c r="C630" s="151" t="s">
        <v>1226</v>
      </c>
      <c r="D630" s="152">
        <v>1</v>
      </c>
      <c r="E630" s="155">
        <v>35000</v>
      </c>
      <c r="F630" s="203"/>
      <c r="G630" s="5"/>
    </row>
    <row r="631" spans="1:7" ht="23.25">
      <c r="A631" s="41" t="s">
        <v>1962</v>
      </c>
      <c r="B631" s="151" t="s">
        <v>1223</v>
      </c>
      <c r="C631" s="151" t="s">
        <v>1227</v>
      </c>
      <c r="D631" s="152">
        <v>1</v>
      </c>
      <c r="E631" s="155">
        <v>35000</v>
      </c>
      <c r="F631" s="203"/>
      <c r="G631" s="5"/>
    </row>
    <row r="632" spans="1:7" ht="23.25">
      <c r="A632" s="5" t="s">
        <v>1606</v>
      </c>
      <c r="B632" s="151" t="s">
        <v>1224</v>
      </c>
      <c r="C632" s="151" t="s">
        <v>1228</v>
      </c>
      <c r="D632" s="152">
        <v>1</v>
      </c>
      <c r="E632" s="155">
        <v>35000</v>
      </c>
      <c r="F632" s="203"/>
      <c r="G632" s="5"/>
    </row>
    <row r="633" spans="1:7" ht="23.25">
      <c r="A633" s="41" t="s">
        <v>1963</v>
      </c>
      <c r="B633" s="150" t="s">
        <v>97</v>
      </c>
      <c r="C633" s="151" t="s">
        <v>1110</v>
      </c>
      <c r="D633" s="152">
        <v>1</v>
      </c>
      <c r="E633" s="155">
        <v>50000</v>
      </c>
      <c r="F633" s="203"/>
      <c r="G633" s="5"/>
    </row>
    <row r="634" spans="1:7" ht="23.25">
      <c r="A634" s="5" t="s">
        <v>1606</v>
      </c>
      <c r="B634" s="150" t="s">
        <v>808</v>
      </c>
      <c r="C634" s="151" t="s">
        <v>1111</v>
      </c>
      <c r="D634" s="152">
        <v>1</v>
      </c>
      <c r="E634" s="155">
        <v>50000</v>
      </c>
      <c r="F634" s="203"/>
      <c r="G634" s="5"/>
    </row>
    <row r="635" spans="1:7" ht="23.25">
      <c r="A635" s="5" t="s">
        <v>1606</v>
      </c>
      <c r="B635" s="150" t="s">
        <v>809</v>
      </c>
      <c r="C635" s="151" t="s">
        <v>1112</v>
      </c>
      <c r="D635" s="152">
        <v>1</v>
      </c>
      <c r="E635" s="155">
        <v>50000</v>
      </c>
      <c r="F635" s="203"/>
      <c r="G635" s="5"/>
    </row>
    <row r="636" spans="1:7" ht="23.25">
      <c r="A636" s="5" t="s">
        <v>1606</v>
      </c>
      <c r="B636" s="150" t="s">
        <v>810</v>
      </c>
      <c r="C636" s="151" t="s">
        <v>1113</v>
      </c>
      <c r="D636" s="152">
        <v>1</v>
      </c>
      <c r="E636" s="155">
        <v>50000</v>
      </c>
      <c r="F636" s="144"/>
      <c r="G636" s="5"/>
    </row>
    <row r="637" spans="1:7" ht="23.25">
      <c r="A637" s="5" t="s">
        <v>1606</v>
      </c>
      <c r="B637" s="150" t="s">
        <v>294</v>
      </c>
      <c r="C637" s="151" t="s">
        <v>869</v>
      </c>
      <c r="D637" s="152">
        <v>7</v>
      </c>
      <c r="E637" s="153">
        <v>7000</v>
      </c>
      <c r="F637" s="154"/>
      <c r="G637" s="5"/>
    </row>
    <row r="638" spans="1:7" ht="23.25">
      <c r="A638" s="5" t="s">
        <v>1606</v>
      </c>
      <c r="B638" s="150" t="s">
        <v>757</v>
      </c>
      <c r="C638" s="151" t="s">
        <v>869</v>
      </c>
      <c r="D638" s="152">
        <v>7</v>
      </c>
      <c r="E638" s="153">
        <v>7000</v>
      </c>
      <c r="F638" s="154"/>
      <c r="G638" s="5"/>
    </row>
    <row r="639" spans="1:7" ht="23.25">
      <c r="A639" s="5" t="s">
        <v>1606</v>
      </c>
      <c r="B639" s="150" t="s">
        <v>756</v>
      </c>
      <c r="C639" s="151" t="s">
        <v>869</v>
      </c>
      <c r="D639" s="152">
        <v>6</v>
      </c>
      <c r="E639" s="153">
        <v>7000</v>
      </c>
      <c r="F639" s="154"/>
      <c r="G639" s="5"/>
    </row>
    <row r="640" spans="1:7" ht="23.25">
      <c r="A640" s="5" t="s">
        <v>1606</v>
      </c>
      <c r="B640" s="150" t="s">
        <v>1964</v>
      </c>
      <c r="C640" s="151" t="s">
        <v>869</v>
      </c>
      <c r="D640" s="152">
        <v>11</v>
      </c>
      <c r="E640" s="153">
        <v>7000</v>
      </c>
      <c r="F640" s="154"/>
      <c r="G640" s="5"/>
    </row>
    <row r="641" spans="1:7" ht="23.25">
      <c r="A641" s="5" t="s">
        <v>1606</v>
      </c>
      <c r="B641" s="150" t="s">
        <v>755</v>
      </c>
      <c r="C641" s="151" t="s">
        <v>869</v>
      </c>
      <c r="D641" s="152">
        <v>9</v>
      </c>
      <c r="E641" s="153">
        <v>7000</v>
      </c>
      <c r="F641" s="154"/>
      <c r="G641" s="5"/>
    </row>
    <row r="642" spans="1:7" ht="23.25">
      <c r="A642" s="5" t="s">
        <v>1606</v>
      </c>
      <c r="B642" s="150" t="s">
        <v>1066</v>
      </c>
      <c r="C642" s="151" t="s">
        <v>870</v>
      </c>
      <c r="D642" s="152">
        <v>4</v>
      </c>
      <c r="E642" s="153">
        <v>20000</v>
      </c>
      <c r="F642" s="154"/>
      <c r="G642" s="5"/>
    </row>
    <row r="643" spans="1:7" ht="23.25">
      <c r="A643" s="41" t="s">
        <v>1959</v>
      </c>
      <c r="B643" s="150" t="s">
        <v>1067</v>
      </c>
      <c r="C643" s="151" t="s">
        <v>871</v>
      </c>
      <c r="D643" s="152">
        <v>1</v>
      </c>
      <c r="E643" s="153">
        <v>70000</v>
      </c>
      <c r="F643" s="154" t="s">
        <v>1068</v>
      </c>
      <c r="G643" s="5"/>
    </row>
    <row r="644" spans="1:7" ht="23.25">
      <c r="A644" s="41" t="s">
        <v>1959</v>
      </c>
      <c r="B644" s="150" t="s">
        <v>798</v>
      </c>
      <c r="C644" s="151" t="s">
        <v>1070</v>
      </c>
      <c r="D644" s="152">
        <v>1</v>
      </c>
      <c r="E644" s="153">
        <v>70000</v>
      </c>
      <c r="F644" s="154" t="s">
        <v>1071</v>
      </c>
      <c r="G644" s="5"/>
    </row>
    <row r="645" spans="1:7" ht="23.25">
      <c r="A645" s="5" t="s">
        <v>1606</v>
      </c>
      <c r="B645" s="150" t="s">
        <v>852</v>
      </c>
      <c r="C645" s="151" t="s">
        <v>874</v>
      </c>
      <c r="D645" s="152">
        <v>32</v>
      </c>
      <c r="E645" s="153">
        <v>6000</v>
      </c>
      <c r="F645" s="154" t="s">
        <v>886</v>
      </c>
      <c r="G645" s="5"/>
    </row>
    <row r="646" spans="1:7" ht="23.25">
      <c r="A646" s="5" t="s">
        <v>1606</v>
      </c>
      <c r="B646" s="150" t="s">
        <v>853</v>
      </c>
      <c r="C646" s="151" t="s">
        <v>873</v>
      </c>
      <c r="D646" s="152">
        <v>20</v>
      </c>
      <c r="E646" s="153">
        <v>8000</v>
      </c>
      <c r="F646" s="153">
        <v>50000</v>
      </c>
      <c r="G646" s="5"/>
    </row>
    <row r="647" spans="1:7" ht="23.25">
      <c r="A647" s="5" t="s">
        <v>1606</v>
      </c>
      <c r="B647" s="150" t="s">
        <v>1602</v>
      </c>
      <c r="C647" s="164" t="s">
        <v>1186</v>
      </c>
      <c r="D647" s="165">
        <v>1</v>
      </c>
      <c r="E647" s="204">
        <v>80000</v>
      </c>
      <c r="F647" s="204">
        <v>400000</v>
      </c>
      <c r="G647" s="5"/>
    </row>
    <row r="648" spans="1:7" ht="23.25">
      <c r="A648" s="5" t="s">
        <v>1606</v>
      </c>
      <c r="B648" s="150" t="s">
        <v>1601</v>
      </c>
      <c r="C648" s="164" t="s">
        <v>1187</v>
      </c>
      <c r="D648" s="165">
        <v>1</v>
      </c>
      <c r="E648" s="204">
        <v>160000</v>
      </c>
      <c r="F648" s="203">
        <v>800000</v>
      </c>
      <c r="G648" s="5"/>
    </row>
    <row r="649" spans="1:7" ht="23.25">
      <c r="A649" s="5" t="s">
        <v>1606</v>
      </c>
      <c r="B649" s="150" t="s">
        <v>805</v>
      </c>
      <c r="C649" s="151" t="s">
        <v>127</v>
      </c>
      <c r="D649" s="152">
        <v>1</v>
      </c>
      <c r="E649" s="153">
        <v>40000</v>
      </c>
      <c r="F649" s="154"/>
      <c r="G649" s="5"/>
    </row>
    <row r="650" spans="1:7" ht="23.25">
      <c r="A650" s="5" t="s">
        <v>1606</v>
      </c>
      <c r="B650" s="150" t="s">
        <v>1104</v>
      </c>
      <c r="C650" s="151" t="s">
        <v>235</v>
      </c>
      <c r="D650" s="152">
        <v>1</v>
      </c>
      <c r="E650" s="168">
        <v>40000</v>
      </c>
      <c r="F650" s="203"/>
      <c r="G650" s="5"/>
    </row>
    <row r="651" spans="1:7" ht="23.25">
      <c r="A651" s="5" t="s">
        <v>1606</v>
      </c>
      <c r="B651" s="150" t="s">
        <v>238</v>
      </c>
      <c r="C651" s="151" t="s">
        <v>236</v>
      </c>
      <c r="D651" s="152">
        <v>1</v>
      </c>
      <c r="E651" s="168">
        <v>40000</v>
      </c>
      <c r="F651" s="203"/>
      <c r="G651" s="5"/>
    </row>
    <row r="652" spans="1:7" ht="23.25">
      <c r="A652" s="5" t="s">
        <v>1606</v>
      </c>
      <c r="B652" s="150" t="s">
        <v>238</v>
      </c>
      <c r="C652" s="151" t="s">
        <v>239</v>
      </c>
      <c r="D652" s="152">
        <v>1</v>
      </c>
      <c r="E652" s="168">
        <v>40000</v>
      </c>
      <c r="F652" s="203"/>
      <c r="G652" s="5"/>
    </row>
    <row r="653" spans="1:7" ht="23.25">
      <c r="A653" s="5" t="s">
        <v>1606</v>
      </c>
      <c r="B653" s="150" t="s">
        <v>9</v>
      </c>
      <c r="C653" s="151" t="s">
        <v>1087</v>
      </c>
      <c r="D653" s="152">
        <v>1</v>
      </c>
      <c r="E653" s="155">
        <v>50000</v>
      </c>
      <c r="F653" s="154"/>
      <c r="G653" s="5"/>
    </row>
    <row r="654" spans="1:7" ht="23.25">
      <c r="A654" s="5" t="s">
        <v>1125</v>
      </c>
      <c r="B654" s="150" t="s">
        <v>9</v>
      </c>
      <c r="C654" s="151" t="s">
        <v>1965</v>
      </c>
      <c r="D654" s="152"/>
      <c r="E654" s="155"/>
      <c r="F654" s="154"/>
      <c r="G654" s="5"/>
    </row>
    <row r="655" spans="1:7" ht="23.25">
      <c r="A655" s="5" t="s">
        <v>1606</v>
      </c>
      <c r="B655" s="150" t="s">
        <v>94</v>
      </c>
      <c r="C655" s="151" t="s">
        <v>1092</v>
      </c>
      <c r="D655" s="152">
        <v>1</v>
      </c>
      <c r="E655" s="155">
        <v>40000</v>
      </c>
      <c r="F655" s="154"/>
      <c r="G655" s="5"/>
    </row>
    <row r="656" spans="1:7" ht="23.25">
      <c r="A656" s="5" t="s">
        <v>1606</v>
      </c>
      <c r="B656" s="150" t="s">
        <v>94</v>
      </c>
      <c r="C656" s="151" t="s">
        <v>1093</v>
      </c>
      <c r="D656" s="152">
        <v>1</v>
      </c>
      <c r="E656" s="155">
        <v>40000</v>
      </c>
      <c r="F656" s="154"/>
      <c r="G656" s="5"/>
    </row>
    <row r="657" spans="1:7" ht="23.25">
      <c r="A657" s="5" t="s">
        <v>1606</v>
      </c>
      <c r="B657" s="150" t="s">
        <v>94</v>
      </c>
      <c r="C657" s="151" t="s">
        <v>1094</v>
      </c>
      <c r="D657" s="152">
        <v>1</v>
      </c>
      <c r="E657" s="155">
        <v>40000</v>
      </c>
      <c r="F657" s="154"/>
      <c r="G657" s="5"/>
    </row>
    <row r="658" spans="1:7" ht="23.25">
      <c r="A658" s="41" t="s">
        <v>1967</v>
      </c>
      <c r="B658" s="150" t="s">
        <v>807</v>
      </c>
      <c r="C658" s="151" t="s">
        <v>1095</v>
      </c>
      <c r="D658" s="152">
        <v>1</v>
      </c>
      <c r="E658" s="155">
        <v>40000</v>
      </c>
      <c r="F658" s="154"/>
      <c r="G658" s="5"/>
    </row>
    <row r="659" spans="1:7" ht="23.25">
      <c r="A659" s="5" t="s">
        <v>1606</v>
      </c>
      <c r="B659" s="150" t="s">
        <v>95</v>
      </c>
      <c r="C659" s="151" t="s">
        <v>1114</v>
      </c>
      <c r="D659" s="152">
        <v>1</v>
      </c>
      <c r="E659" s="155">
        <v>40000</v>
      </c>
      <c r="F659" s="154" t="s">
        <v>1164</v>
      </c>
      <c r="G659" s="5"/>
    </row>
    <row r="660" spans="1:7" ht="23.25">
      <c r="A660" s="5" t="s">
        <v>1606</v>
      </c>
      <c r="B660" s="150" t="s">
        <v>95</v>
      </c>
      <c r="C660" s="151" t="s">
        <v>1115</v>
      </c>
      <c r="D660" s="152">
        <v>1</v>
      </c>
      <c r="E660" s="155">
        <v>40000</v>
      </c>
      <c r="F660" s="154" t="s">
        <v>1072</v>
      </c>
      <c r="G660" s="5"/>
    </row>
    <row r="661" spans="1:7" ht="23.25">
      <c r="A661" s="5" t="s">
        <v>1606</v>
      </c>
      <c r="B661" s="150" t="s">
        <v>95</v>
      </c>
      <c r="C661" s="151" t="s">
        <v>1116</v>
      </c>
      <c r="D661" s="152">
        <v>1</v>
      </c>
      <c r="E661" s="155">
        <v>40000</v>
      </c>
      <c r="F661" s="154"/>
      <c r="G661" s="5"/>
    </row>
    <row r="662" spans="1:7" ht="23.25">
      <c r="A662" s="5" t="s">
        <v>1606</v>
      </c>
      <c r="B662" s="150" t="s">
        <v>96</v>
      </c>
      <c r="C662" s="151" t="s">
        <v>1101</v>
      </c>
      <c r="D662" s="152">
        <v>1</v>
      </c>
      <c r="E662" s="155">
        <v>40000</v>
      </c>
      <c r="F662" s="154"/>
      <c r="G662" s="5"/>
    </row>
    <row r="663" spans="1:7" ht="23.25">
      <c r="A663" s="5" t="s">
        <v>1606</v>
      </c>
      <c r="B663" s="150" t="s">
        <v>96</v>
      </c>
      <c r="C663" s="151" t="s">
        <v>1102</v>
      </c>
      <c r="D663" s="152">
        <v>1</v>
      </c>
      <c r="E663" s="155">
        <v>40000</v>
      </c>
      <c r="F663" s="154"/>
      <c r="G663" s="5"/>
    </row>
    <row r="664" spans="1:7" ht="23.25">
      <c r="A664" s="5" t="s">
        <v>1606</v>
      </c>
      <c r="B664" s="150" t="s">
        <v>96</v>
      </c>
      <c r="C664" s="151" t="s">
        <v>1103</v>
      </c>
      <c r="D664" s="152">
        <v>1</v>
      </c>
      <c r="E664" s="155">
        <v>40000</v>
      </c>
      <c r="F664" s="154"/>
      <c r="G664" s="5"/>
    </row>
    <row r="665" spans="1:7" ht="23.25">
      <c r="A665" s="41" t="s">
        <v>1967</v>
      </c>
      <c r="B665" s="150" t="s">
        <v>1108</v>
      </c>
      <c r="C665" s="151" t="s">
        <v>1109</v>
      </c>
      <c r="D665" s="152">
        <v>1</v>
      </c>
      <c r="E665" s="155">
        <v>80000</v>
      </c>
      <c r="F665" s="203"/>
      <c r="G665" s="5"/>
    </row>
    <row r="666" spans="1:7" ht="23.25">
      <c r="A666" s="41" t="s">
        <v>1963</v>
      </c>
      <c r="B666" s="150" t="s">
        <v>803</v>
      </c>
      <c r="C666" s="151" t="s">
        <v>1088</v>
      </c>
      <c r="D666" s="152">
        <v>1</v>
      </c>
      <c r="E666" s="153">
        <v>100000</v>
      </c>
      <c r="F666" s="154"/>
      <c r="G666" s="5"/>
    </row>
    <row r="667" spans="1:7" ht="23.25">
      <c r="A667" s="41" t="s">
        <v>1963</v>
      </c>
      <c r="B667" s="150" t="s">
        <v>804</v>
      </c>
      <c r="C667" s="151" t="s">
        <v>881</v>
      </c>
      <c r="D667" s="152">
        <v>1</v>
      </c>
      <c r="E667" s="153">
        <v>80000</v>
      </c>
      <c r="F667" s="154"/>
      <c r="G667" s="5"/>
    </row>
    <row r="668" spans="1:7" ht="23.25">
      <c r="A668" s="41" t="s">
        <v>1643</v>
      </c>
      <c r="B668" s="150" t="s">
        <v>99</v>
      </c>
      <c r="C668" s="151" t="s">
        <v>1089</v>
      </c>
      <c r="D668" s="152">
        <v>1</v>
      </c>
      <c r="E668" s="153">
        <v>60000</v>
      </c>
      <c r="F668" s="154"/>
      <c r="G668" s="5"/>
    </row>
    <row r="669" spans="1:7" ht="23.25">
      <c r="A669" s="41" t="s">
        <v>1643</v>
      </c>
      <c r="B669" s="150" t="s">
        <v>99</v>
      </c>
      <c r="C669" s="151" t="s">
        <v>1089</v>
      </c>
      <c r="D669" s="152">
        <v>1</v>
      </c>
      <c r="E669" s="153">
        <v>60000</v>
      </c>
      <c r="F669" s="154"/>
      <c r="G669" s="5"/>
    </row>
    <row r="670" spans="1:7" ht="23.25">
      <c r="A670" s="5" t="s">
        <v>1606</v>
      </c>
      <c r="B670" s="150" t="s">
        <v>99</v>
      </c>
      <c r="C670" s="151" t="s">
        <v>1090</v>
      </c>
      <c r="D670" s="152">
        <v>1</v>
      </c>
      <c r="E670" s="153">
        <v>60000</v>
      </c>
      <c r="F670" s="154"/>
      <c r="G670" s="5"/>
    </row>
    <row r="671" spans="1:7" ht="23.25">
      <c r="A671" s="41" t="s">
        <v>1904</v>
      </c>
      <c r="B671" s="150" t="s">
        <v>1902</v>
      </c>
      <c r="C671" s="151" t="s">
        <v>1903</v>
      </c>
      <c r="D671" s="152">
        <v>3</v>
      </c>
      <c r="E671" s="153">
        <v>80000</v>
      </c>
      <c r="F671" s="154"/>
      <c r="G671" s="5"/>
    </row>
    <row r="672" spans="1:7" ht="23.25">
      <c r="A672" s="5" t="s">
        <v>1606</v>
      </c>
      <c r="B672" s="150" t="s">
        <v>849</v>
      </c>
      <c r="C672" s="151" t="s">
        <v>1078</v>
      </c>
      <c r="D672" s="152">
        <v>1</v>
      </c>
      <c r="E672" s="153">
        <v>60000</v>
      </c>
      <c r="F672" s="154"/>
      <c r="G672" s="5"/>
    </row>
    <row r="673" spans="1:7" ht="23.25">
      <c r="A673" s="5" t="s">
        <v>1606</v>
      </c>
      <c r="B673" s="150" t="s">
        <v>849</v>
      </c>
      <c r="C673" s="151" t="s">
        <v>1080</v>
      </c>
      <c r="D673" s="152">
        <v>1</v>
      </c>
      <c r="E673" s="153">
        <v>60000</v>
      </c>
      <c r="F673" s="154"/>
      <c r="G673" s="5"/>
    </row>
    <row r="674" spans="1:7" ht="23.25">
      <c r="A674" s="5" t="s">
        <v>1606</v>
      </c>
      <c r="B674" s="150" t="s">
        <v>849</v>
      </c>
      <c r="C674" s="151" t="s">
        <v>1079</v>
      </c>
      <c r="D674" s="152">
        <v>1</v>
      </c>
      <c r="E674" s="153">
        <v>60000</v>
      </c>
      <c r="F674" s="154"/>
      <c r="G674" s="5"/>
    </row>
    <row r="675" spans="1:7" ht="23.25">
      <c r="A675" s="5" t="s">
        <v>1606</v>
      </c>
      <c r="B675" s="150" t="s">
        <v>844</v>
      </c>
      <c r="C675" s="151" t="s">
        <v>1081</v>
      </c>
      <c r="D675" s="152">
        <v>1</v>
      </c>
      <c r="E675" s="153">
        <v>60000</v>
      </c>
      <c r="F675" s="154"/>
      <c r="G675" s="5"/>
    </row>
    <row r="676" spans="1:7" ht="23.25">
      <c r="A676" s="5" t="s">
        <v>1606</v>
      </c>
      <c r="B676" s="150" t="s">
        <v>844</v>
      </c>
      <c r="C676" s="151" t="s">
        <v>1091</v>
      </c>
      <c r="D676" s="152">
        <v>1</v>
      </c>
      <c r="E676" s="153">
        <v>60000</v>
      </c>
      <c r="F676" s="154"/>
      <c r="G676" s="5"/>
    </row>
    <row r="677" spans="1:7" ht="23.25">
      <c r="A677" s="5" t="s">
        <v>1606</v>
      </c>
      <c r="B677" s="150" t="s">
        <v>844</v>
      </c>
      <c r="C677" s="151" t="s">
        <v>1082</v>
      </c>
      <c r="D677" s="152">
        <v>1</v>
      </c>
      <c r="E677" s="153">
        <v>60000</v>
      </c>
      <c r="F677" s="154"/>
      <c r="G677" s="5"/>
    </row>
    <row r="678" spans="1:7" ht="23.25">
      <c r="A678" s="41" t="s">
        <v>1967</v>
      </c>
      <c r="B678" s="150" t="s">
        <v>98</v>
      </c>
      <c r="C678" s="151" t="s">
        <v>1083</v>
      </c>
      <c r="D678" s="152">
        <v>1</v>
      </c>
      <c r="E678" s="153">
        <v>40000</v>
      </c>
      <c r="F678" s="154"/>
      <c r="G678" s="5"/>
    </row>
    <row r="679" spans="1:7" ht="23.25">
      <c r="B679" s="297" t="s">
        <v>1220</v>
      </c>
      <c r="C679" s="298"/>
      <c r="D679" s="298"/>
      <c r="E679" s="299"/>
      <c r="F679" s="154"/>
      <c r="G679" s="5"/>
    </row>
    <row r="680" spans="1:7" ht="23.25">
      <c r="A680" s="5" t="s">
        <v>1606</v>
      </c>
      <c r="B680" s="150" t="s">
        <v>1096</v>
      </c>
      <c r="C680" s="151" t="s">
        <v>1098</v>
      </c>
      <c r="D680" s="152">
        <v>1</v>
      </c>
      <c r="E680" s="153">
        <v>30000</v>
      </c>
      <c r="F680" s="154"/>
      <c r="G680" s="5"/>
    </row>
    <row r="681" spans="1:7" ht="23.25">
      <c r="A681" s="5" t="s">
        <v>1606</v>
      </c>
      <c r="B681" s="150" t="s">
        <v>1097</v>
      </c>
      <c r="C681" s="151" t="s">
        <v>1099</v>
      </c>
      <c r="D681" s="152">
        <v>1</v>
      </c>
      <c r="E681" s="153">
        <v>40000</v>
      </c>
      <c r="F681" s="154"/>
      <c r="G681" s="5"/>
    </row>
    <row r="682" spans="1:7" ht="23.25">
      <c r="A682" s="5" t="s">
        <v>1606</v>
      </c>
      <c r="B682" s="150" t="s">
        <v>459</v>
      </c>
      <c r="C682" s="151" t="s">
        <v>1100</v>
      </c>
      <c r="D682" s="152">
        <v>1</v>
      </c>
      <c r="E682" s="153">
        <v>20000</v>
      </c>
      <c r="F682" s="154"/>
      <c r="G682" s="5"/>
    </row>
    <row r="683" spans="1:7" ht="23.25">
      <c r="A683" s="5" t="s">
        <v>1606</v>
      </c>
      <c r="B683" s="150" t="s">
        <v>460</v>
      </c>
      <c r="C683" s="151" t="s">
        <v>1084</v>
      </c>
      <c r="D683" s="152">
        <v>2</v>
      </c>
      <c r="E683" s="153">
        <v>50000</v>
      </c>
      <c r="F683" s="154"/>
      <c r="G683" s="5"/>
    </row>
    <row r="684" spans="1:7" ht="23.25">
      <c r="A684" s="41" t="s">
        <v>1959</v>
      </c>
      <c r="B684" s="150" t="s">
        <v>540</v>
      </c>
      <c r="C684" s="151" t="s">
        <v>1085</v>
      </c>
      <c r="D684" s="152">
        <v>1</v>
      </c>
      <c r="E684" s="153">
        <v>40000</v>
      </c>
      <c r="F684" s="154"/>
      <c r="G684" s="5"/>
    </row>
    <row r="685" spans="1:7" ht="23.25">
      <c r="A685" s="41" t="s">
        <v>1959</v>
      </c>
      <c r="B685" s="150" t="s">
        <v>539</v>
      </c>
      <c r="C685" s="151" t="s">
        <v>1086</v>
      </c>
      <c r="D685" s="152">
        <v>1</v>
      </c>
      <c r="E685" s="153">
        <v>30000</v>
      </c>
      <c r="F685" s="154"/>
      <c r="G685" s="5"/>
    </row>
    <row r="686" spans="1:7" ht="23.25">
      <c r="B686" s="297" t="s">
        <v>1260</v>
      </c>
      <c r="C686" s="298"/>
      <c r="D686" s="298"/>
      <c r="E686" s="299"/>
      <c r="F686" s="205"/>
      <c r="G686" s="5"/>
    </row>
    <row r="687" spans="1:7" ht="23.25">
      <c r="A687" s="41" t="s">
        <v>1685</v>
      </c>
      <c r="B687" s="163" t="s">
        <v>1483</v>
      </c>
      <c r="C687" s="144"/>
      <c r="D687" s="165">
        <v>13</v>
      </c>
      <c r="E687" s="232">
        <v>55000</v>
      </c>
      <c r="F687" s="205"/>
      <c r="G687" s="5"/>
    </row>
    <row r="688" spans="1:7" ht="23.25">
      <c r="A688" s="5" t="s">
        <v>1685</v>
      </c>
      <c r="B688" s="150" t="s">
        <v>875</v>
      </c>
      <c r="C688" s="151" t="s">
        <v>882</v>
      </c>
      <c r="D688" s="152">
        <v>15</v>
      </c>
      <c r="E688" s="153">
        <v>12000</v>
      </c>
      <c r="F688" s="154"/>
      <c r="G688" s="5"/>
    </row>
    <row r="689" spans="1:7" ht="23.25">
      <c r="B689" s="150" t="s">
        <v>1968</v>
      </c>
      <c r="C689" s="151"/>
      <c r="D689" s="152"/>
      <c r="E689" s="153"/>
      <c r="F689" s="154"/>
      <c r="G689" s="5"/>
    </row>
    <row r="690" spans="1:7" ht="23.25">
      <c r="A690" s="41" t="s">
        <v>1031</v>
      </c>
      <c r="B690" s="213" t="s">
        <v>5</v>
      </c>
      <c r="C690" s="151" t="s">
        <v>90</v>
      </c>
      <c r="D690" s="152">
        <v>71</v>
      </c>
      <c r="E690" s="153">
        <v>10000</v>
      </c>
      <c r="F690" s="154" t="s">
        <v>1165</v>
      </c>
      <c r="G690" s="5"/>
    </row>
    <row r="691" spans="1:7" ht="23.25">
      <c r="A691" s="5" t="s">
        <v>1606</v>
      </c>
      <c r="B691" s="150" t="s">
        <v>5</v>
      </c>
      <c r="C691" s="151" t="s">
        <v>92</v>
      </c>
      <c r="D691" s="152">
        <v>12</v>
      </c>
      <c r="E691" s="153">
        <v>10000</v>
      </c>
      <c r="F691" s="154"/>
      <c r="G691" s="5"/>
    </row>
    <row r="692" spans="1:7" ht="23.25">
      <c r="A692" s="5" t="s">
        <v>1606</v>
      </c>
      <c r="B692" s="150" t="s">
        <v>6</v>
      </c>
      <c r="C692" s="151" t="s">
        <v>93</v>
      </c>
      <c r="D692" s="152">
        <v>2</v>
      </c>
      <c r="E692" s="153">
        <v>8000</v>
      </c>
      <c r="F692" s="154"/>
      <c r="G692" s="5"/>
    </row>
    <row r="693" spans="1:7" ht="23.25">
      <c r="A693" s="41" t="s">
        <v>1969</v>
      </c>
      <c r="B693" s="213" t="s">
        <v>851</v>
      </c>
      <c r="C693" s="151" t="s">
        <v>91</v>
      </c>
      <c r="D693" s="152">
        <v>8</v>
      </c>
      <c r="E693" s="153">
        <v>20000</v>
      </c>
      <c r="F693" s="154" t="s">
        <v>1166</v>
      </c>
      <c r="G693" s="5"/>
    </row>
    <row r="694" spans="1:7" ht="23.25">
      <c r="A694" s="5" t="s">
        <v>639</v>
      </c>
      <c r="B694" s="150" t="s">
        <v>1167</v>
      </c>
      <c r="C694" s="151" t="s">
        <v>93</v>
      </c>
      <c r="D694" s="152">
        <f>[1]MATERIAL!D17</f>
        <v>1</v>
      </c>
      <c r="E694" s="153">
        <v>20000</v>
      </c>
      <c r="F694" s="154"/>
      <c r="G694" s="5"/>
    </row>
    <row r="695" spans="1:7" ht="23.25">
      <c r="B695" s="297" t="s">
        <v>1261</v>
      </c>
      <c r="C695" s="298"/>
      <c r="D695" s="298"/>
      <c r="E695" s="298"/>
      <c r="F695" s="145"/>
      <c r="G695" s="5"/>
    </row>
    <row r="696" spans="1:7" ht="23.25">
      <c r="A696" s="5" t="s">
        <v>1606</v>
      </c>
      <c r="B696" s="150" t="s">
        <v>159</v>
      </c>
      <c r="C696" s="151" t="s">
        <v>289</v>
      </c>
      <c r="D696" s="152">
        <v>64</v>
      </c>
      <c r="E696" s="153">
        <v>10000</v>
      </c>
      <c r="F696" s="154"/>
      <c r="G696" s="5"/>
    </row>
    <row r="697" spans="1:7" ht="23.25">
      <c r="A697" s="5" t="s">
        <v>1606</v>
      </c>
      <c r="B697" s="150" t="s">
        <v>800</v>
      </c>
      <c r="C697" s="151" t="s">
        <v>289</v>
      </c>
      <c r="D697" s="152">
        <v>9</v>
      </c>
      <c r="E697" s="153">
        <v>25000</v>
      </c>
      <c r="F697" s="154"/>
      <c r="G697" s="5"/>
    </row>
    <row r="698" spans="1:7" ht="23.25">
      <c r="A698" s="5" t="s">
        <v>1125</v>
      </c>
      <c r="B698" s="150" t="s">
        <v>641</v>
      </c>
      <c r="C698" s="151" t="s">
        <v>927</v>
      </c>
      <c r="D698" s="152">
        <v>5</v>
      </c>
      <c r="E698" s="153">
        <v>40000</v>
      </c>
      <c r="F698" s="154"/>
      <c r="G698" s="5"/>
    </row>
    <row r="699" spans="1:7" ht="23.25">
      <c r="A699" s="41" t="s">
        <v>1970</v>
      </c>
      <c r="B699" s="150" t="s">
        <v>160</v>
      </c>
      <c r="C699" s="151" t="s">
        <v>12</v>
      </c>
      <c r="D699" s="152">
        <v>13</v>
      </c>
      <c r="E699" s="153">
        <v>18000</v>
      </c>
      <c r="F699" s="154"/>
      <c r="G699" s="5"/>
    </row>
    <row r="700" spans="1:7" ht="23.25">
      <c r="A700" s="41" t="s">
        <v>1950</v>
      </c>
      <c r="B700" s="150" t="s">
        <v>160</v>
      </c>
      <c r="C700" s="151" t="s">
        <v>1971</v>
      </c>
      <c r="D700" s="152">
        <v>9</v>
      </c>
      <c r="E700" s="153">
        <v>18000</v>
      </c>
      <c r="F700" s="154"/>
      <c r="G700" s="5"/>
    </row>
    <row r="701" spans="1:7" ht="23.25">
      <c r="A701" s="41" t="s">
        <v>1972</v>
      </c>
      <c r="B701" s="150" t="s">
        <v>160</v>
      </c>
      <c r="C701" s="151" t="s">
        <v>521</v>
      </c>
      <c r="D701" s="152">
        <v>5</v>
      </c>
      <c r="E701" s="153">
        <v>18000</v>
      </c>
      <c r="F701" s="154"/>
      <c r="G701" s="5"/>
    </row>
    <row r="702" spans="1:7" ht="23.25">
      <c r="A702" s="41" t="s">
        <v>524</v>
      </c>
      <c r="B702" s="150" t="s">
        <v>160</v>
      </c>
      <c r="C702" s="151" t="s">
        <v>919</v>
      </c>
      <c r="D702" s="152">
        <v>5</v>
      </c>
      <c r="E702" s="153">
        <v>18000</v>
      </c>
      <c r="F702" s="154"/>
      <c r="G702" s="5"/>
    </row>
    <row r="703" spans="1:7" ht="23.25">
      <c r="A703" s="41" t="s">
        <v>1972</v>
      </c>
      <c r="B703" s="150" t="s">
        <v>160</v>
      </c>
      <c r="C703" s="151" t="s">
        <v>509</v>
      </c>
      <c r="D703" s="152">
        <v>5</v>
      </c>
      <c r="E703" s="153">
        <v>18000</v>
      </c>
      <c r="F703" s="154"/>
      <c r="G703" s="5"/>
    </row>
    <row r="704" spans="1:7" ht="23.25">
      <c r="A704" s="41" t="s">
        <v>1973</v>
      </c>
      <c r="B704" s="150" t="s">
        <v>160</v>
      </c>
      <c r="C704" s="151" t="s">
        <v>11</v>
      </c>
      <c r="D704" s="152">
        <v>2</v>
      </c>
      <c r="E704" s="153">
        <v>18000</v>
      </c>
      <c r="F704" s="154"/>
      <c r="G704" s="5" t="s">
        <v>1495</v>
      </c>
    </row>
    <row r="705" spans="1:7" ht="23.25">
      <c r="A705" s="41" t="s">
        <v>1973</v>
      </c>
      <c r="B705" s="150" t="s">
        <v>160</v>
      </c>
      <c r="C705" s="250" t="s">
        <v>922</v>
      </c>
      <c r="D705" s="152">
        <v>3</v>
      </c>
      <c r="E705" s="153">
        <v>18000</v>
      </c>
      <c r="F705" s="154"/>
      <c r="G705" s="5" t="s">
        <v>1497</v>
      </c>
    </row>
    <row r="706" spans="1:7" ht="23.25">
      <c r="A706" s="5" t="s">
        <v>1125</v>
      </c>
      <c r="B706" s="150" t="s">
        <v>160</v>
      </c>
      <c r="C706" s="250" t="s">
        <v>921</v>
      </c>
      <c r="D706" s="152">
        <v>5</v>
      </c>
      <c r="E706" s="153">
        <v>18000</v>
      </c>
      <c r="F706" s="154"/>
      <c r="G706" s="5"/>
    </row>
    <row r="707" spans="1:7" ht="23.25">
      <c r="A707" s="5" t="s">
        <v>1125</v>
      </c>
      <c r="B707" s="150" t="s">
        <v>160</v>
      </c>
      <c r="C707" s="151" t="s">
        <v>25</v>
      </c>
      <c r="D707" s="152">
        <v>2</v>
      </c>
      <c r="E707" s="153">
        <v>18000</v>
      </c>
      <c r="F707" s="154"/>
      <c r="G707" s="5"/>
    </row>
    <row r="708" spans="1:7" ht="23.25">
      <c r="A708" s="41" t="s">
        <v>955</v>
      </c>
      <c r="B708" s="150" t="s">
        <v>162</v>
      </c>
      <c r="C708" s="151" t="s">
        <v>253</v>
      </c>
      <c r="D708" s="152">
        <v>27</v>
      </c>
      <c r="E708" s="153">
        <v>18000</v>
      </c>
      <c r="F708" s="154"/>
      <c r="G708" s="5"/>
    </row>
    <row r="709" spans="1:7" ht="23.25">
      <c r="A709" s="41" t="s">
        <v>524</v>
      </c>
      <c r="B709" s="150" t="s">
        <v>162</v>
      </c>
      <c r="C709" s="151" t="s">
        <v>164</v>
      </c>
      <c r="D709" s="152">
        <v>6</v>
      </c>
      <c r="E709" s="153">
        <v>18000</v>
      </c>
      <c r="F709" s="154"/>
      <c r="G709" s="5" t="s">
        <v>1497</v>
      </c>
    </row>
    <row r="710" spans="1:7" ht="23.25">
      <c r="A710" s="41" t="s">
        <v>1974</v>
      </c>
      <c r="B710" s="150" t="s">
        <v>162</v>
      </c>
      <c r="C710" s="151" t="s">
        <v>523</v>
      </c>
      <c r="D710" s="152">
        <v>5</v>
      </c>
      <c r="E710" s="153">
        <v>18000</v>
      </c>
      <c r="F710" s="154"/>
      <c r="G710" s="5"/>
    </row>
    <row r="711" spans="1:7" ht="23.25">
      <c r="A711" s="5" t="s">
        <v>1606</v>
      </c>
      <c r="B711" s="150" t="s">
        <v>162</v>
      </c>
      <c r="C711" s="151" t="s">
        <v>830</v>
      </c>
      <c r="D711" s="152">
        <v>5</v>
      </c>
      <c r="E711" s="153">
        <v>18000</v>
      </c>
      <c r="F711" s="154"/>
      <c r="G711" s="5"/>
    </row>
    <row r="712" spans="1:7" ht="23.25">
      <c r="A712" s="41" t="s">
        <v>1973</v>
      </c>
      <c r="B712" s="150" t="s">
        <v>162</v>
      </c>
      <c r="C712" s="151" t="s">
        <v>26</v>
      </c>
      <c r="D712" s="152">
        <v>8</v>
      </c>
      <c r="E712" s="153">
        <v>18000</v>
      </c>
      <c r="F712" s="154"/>
      <c r="G712" s="5" t="s">
        <v>1496</v>
      </c>
    </row>
    <row r="713" spans="1:7" ht="23.25">
      <c r="A713" s="5" t="s">
        <v>1606</v>
      </c>
      <c r="B713" s="150" t="s">
        <v>534</v>
      </c>
      <c r="C713" s="151" t="s">
        <v>167</v>
      </c>
      <c r="D713" s="147">
        <v>1</v>
      </c>
      <c r="E713" s="153">
        <v>8000</v>
      </c>
      <c r="F713" s="167"/>
      <c r="G713" s="5"/>
    </row>
    <row r="714" spans="1:7" ht="23.25">
      <c r="B714" s="297" t="s">
        <v>535</v>
      </c>
      <c r="C714" s="298"/>
      <c r="D714" s="298"/>
      <c r="E714" s="299"/>
      <c r="F714" s="147"/>
      <c r="G714" s="5"/>
    </row>
    <row r="715" spans="1:7" ht="23.25">
      <c r="A715" s="5" t="s">
        <v>1125</v>
      </c>
      <c r="B715" s="150" t="s">
        <v>165</v>
      </c>
      <c r="C715" s="151" t="s">
        <v>920</v>
      </c>
      <c r="D715" s="152">
        <v>23</v>
      </c>
      <c r="E715" s="153">
        <v>18000</v>
      </c>
      <c r="F715" s="154"/>
      <c r="G715" s="5" t="s">
        <v>1501</v>
      </c>
    </row>
    <row r="716" spans="1:7" ht="23.25">
      <c r="A716" s="41" t="s">
        <v>1975</v>
      </c>
      <c r="B716" s="150" t="s">
        <v>166</v>
      </c>
      <c r="C716" s="151" t="s">
        <v>289</v>
      </c>
      <c r="D716" s="152">
        <v>13</v>
      </c>
      <c r="E716" s="153">
        <v>18000</v>
      </c>
      <c r="F716" s="154"/>
      <c r="G716" s="5"/>
    </row>
    <row r="717" spans="1:7" ht="23.25">
      <c r="A717" s="41" t="s">
        <v>1976</v>
      </c>
      <c r="B717" s="150" t="s">
        <v>166</v>
      </c>
      <c r="C717" s="151" t="s">
        <v>799</v>
      </c>
      <c r="D717" s="152">
        <v>5</v>
      </c>
      <c r="E717" s="153">
        <v>18000</v>
      </c>
      <c r="F717" s="154"/>
      <c r="G717" s="5"/>
    </row>
    <row r="718" spans="1:7" ht="23.25">
      <c r="A718" s="5" t="s">
        <v>1977</v>
      </c>
      <c r="B718" s="150" t="s">
        <v>166</v>
      </c>
      <c r="C718" s="151" t="s">
        <v>24</v>
      </c>
      <c r="D718" s="152">
        <v>4</v>
      </c>
      <c r="E718" s="153">
        <v>18000</v>
      </c>
      <c r="F718" s="154"/>
      <c r="G718" s="5"/>
    </row>
    <row r="719" spans="1:7" ht="23.25">
      <c r="A719" s="5" t="s">
        <v>1977</v>
      </c>
      <c r="B719" s="150" t="s">
        <v>166</v>
      </c>
      <c r="C719" s="151" t="s">
        <v>13</v>
      </c>
      <c r="D719" s="152">
        <v>4</v>
      </c>
      <c r="E719" s="153">
        <v>18000</v>
      </c>
      <c r="F719" s="154"/>
      <c r="G719" s="5"/>
    </row>
    <row r="720" spans="1:7" ht="23.25">
      <c r="A720" s="5" t="s">
        <v>1125</v>
      </c>
      <c r="B720" s="150" t="s">
        <v>166</v>
      </c>
      <c r="C720" s="151" t="s">
        <v>523</v>
      </c>
      <c r="D720" s="152">
        <v>5</v>
      </c>
      <c r="E720" s="153">
        <v>18000</v>
      </c>
      <c r="F720" s="154"/>
      <c r="G720" s="5"/>
    </row>
    <row r="721" spans="1:7" ht="23.25">
      <c r="A721" s="5" t="s">
        <v>1125</v>
      </c>
      <c r="B721" s="150" t="s">
        <v>923</v>
      </c>
      <c r="C721" s="151" t="s">
        <v>26</v>
      </c>
      <c r="D721" s="152">
        <v>5</v>
      </c>
      <c r="E721" s="153">
        <v>18000</v>
      </c>
      <c r="F721" s="154"/>
      <c r="G721" s="5"/>
    </row>
    <row r="722" spans="1:7" ht="23.25">
      <c r="A722" s="41" t="s">
        <v>1978</v>
      </c>
      <c r="B722" s="150" t="s">
        <v>166</v>
      </c>
      <c r="C722" s="151" t="s">
        <v>924</v>
      </c>
      <c r="D722" s="152">
        <v>2</v>
      </c>
      <c r="E722" s="153">
        <v>18000</v>
      </c>
      <c r="F722" s="154"/>
      <c r="G722" s="5"/>
    </row>
    <row r="723" spans="1:7" ht="23.25">
      <c r="A723" s="5" t="s">
        <v>1125</v>
      </c>
      <c r="B723" s="150" t="s">
        <v>166</v>
      </c>
      <c r="C723" s="151" t="s">
        <v>11</v>
      </c>
      <c r="D723" s="152">
        <v>5</v>
      </c>
      <c r="E723" s="153">
        <v>18000</v>
      </c>
      <c r="F723" s="154" t="s">
        <v>1494</v>
      </c>
      <c r="G723" s="5"/>
    </row>
    <row r="724" spans="1:7" ht="23.25">
      <c r="A724" s="5" t="s">
        <v>1125</v>
      </c>
      <c r="B724" s="150" t="s">
        <v>166</v>
      </c>
      <c r="C724" s="151" t="s">
        <v>1979</v>
      </c>
      <c r="D724" s="152">
        <v>2</v>
      </c>
      <c r="E724" s="153">
        <v>18000</v>
      </c>
      <c r="F724" s="154"/>
      <c r="G724" s="5"/>
    </row>
    <row r="725" spans="1:7" ht="23.25">
      <c r="A725" s="5" t="s">
        <v>1125</v>
      </c>
      <c r="B725" s="150" t="s">
        <v>166</v>
      </c>
      <c r="C725" s="151" t="s">
        <v>925</v>
      </c>
      <c r="D725" s="152">
        <v>5</v>
      </c>
      <c r="E725" s="153">
        <v>18000</v>
      </c>
      <c r="F725" s="154"/>
      <c r="G725" s="5"/>
    </row>
    <row r="726" spans="1:7" ht="23.25">
      <c r="B726" s="297" t="s">
        <v>536</v>
      </c>
      <c r="C726" s="298"/>
      <c r="D726" s="298"/>
      <c r="E726" s="299"/>
      <c r="F726" s="147"/>
      <c r="G726" s="5"/>
    </row>
    <row r="727" spans="1:7" ht="23.25">
      <c r="A727" s="5" t="s">
        <v>1125</v>
      </c>
      <c r="B727" s="150" t="s">
        <v>1172</v>
      </c>
      <c r="C727" s="151" t="s">
        <v>10</v>
      </c>
      <c r="D727" s="152">
        <v>30</v>
      </c>
      <c r="E727" s="153">
        <v>16000</v>
      </c>
      <c r="F727" s="154"/>
      <c r="G727" s="5"/>
    </row>
    <row r="728" spans="1:7" ht="23.25">
      <c r="A728" s="41" t="s">
        <v>1509</v>
      </c>
      <c r="B728" s="150" t="s">
        <v>1173</v>
      </c>
      <c r="C728" s="151" t="s">
        <v>926</v>
      </c>
      <c r="D728" s="152">
        <v>30</v>
      </c>
      <c r="E728" s="153">
        <v>16000</v>
      </c>
      <c r="F728" s="154"/>
      <c r="G728" s="5"/>
    </row>
    <row r="729" spans="1:7" ht="23.25">
      <c r="A729" s="41" t="s">
        <v>524</v>
      </c>
      <c r="B729" s="150" t="s">
        <v>161</v>
      </c>
      <c r="C729" s="151" t="s">
        <v>14</v>
      </c>
      <c r="D729" s="152">
        <v>21</v>
      </c>
      <c r="E729" s="153">
        <v>18000</v>
      </c>
      <c r="F729" s="154"/>
      <c r="G729" s="5"/>
    </row>
    <row r="730" spans="1:7" ht="23.25">
      <c r="B730" s="297" t="s">
        <v>533</v>
      </c>
      <c r="C730" s="298"/>
      <c r="D730" s="298"/>
      <c r="E730" s="299"/>
      <c r="F730" s="147"/>
      <c r="G730" s="5"/>
    </row>
    <row r="731" spans="1:7" ht="23.25">
      <c r="B731" s="150" t="s">
        <v>288</v>
      </c>
      <c r="C731" s="151" t="s">
        <v>640</v>
      </c>
      <c r="D731" s="152"/>
      <c r="E731" s="153">
        <v>35000</v>
      </c>
      <c r="F731" s="154"/>
      <c r="G731" s="5"/>
    </row>
    <row r="732" spans="1:7" ht="23.25">
      <c r="A732" s="5" t="s">
        <v>1125</v>
      </c>
      <c r="B732" s="150" t="s">
        <v>170</v>
      </c>
      <c r="C732" s="151" t="s">
        <v>168</v>
      </c>
      <c r="D732" s="152">
        <v>5</v>
      </c>
      <c r="E732" s="153">
        <v>25000</v>
      </c>
      <c r="F732" s="168">
        <v>80000</v>
      </c>
      <c r="G732" s="5"/>
    </row>
    <row r="733" spans="1:7" ht="23.25">
      <c r="A733" s="5" t="s">
        <v>1125</v>
      </c>
      <c r="B733" s="150" t="s">
        <v>170</v>
      </c>
      <c r="C733" s="151" t="s">
        <v>545</v>
      </c>
      <c r="D733" s="152">
        <v>8</v>
      </c>
      <c r="E733" s="153">
        <v>25000</v>
      </c>
      <c r="F733" s="168"/>
      <c r="G733" s="5"/>
    </row>
    <row r="734" spans="1:7" ht="23.25">
      <c r="A734" s="5" t="s">
        <v>1125</v>
      </c>
      <c r="B734" s="150" t="s">
        <v>170</v>
      </c>
      <c r="C734" s="151" t="s">
        <v>14</v>
      </c>
      <c r="D734" s="152">
        <v>10</v>
      </c>
      <c r="E734" s="153">
        <v>25000</v>
      </c>
      <c r="F734" s="168">
        <v>70000</v>
      </c>
      <c r="G734" s="5" t="s">
        <v>1605</v>
      </c>
    </row>
    <row r="735" spans="1:7" ht="23.25">
      <c r="A735" s="5" t="s">
        <v>1125</v>
      </c>
      <c r="B735" s="150" t="s">
        <v>170</v>
      </c>
      <c r="C735" s="151" t="s">
        <v>171</v>
      </c>
      <c r="D735" s="152">
        <v>5</v>
      </c>
      <c r="E735" s="153">
        <v>25000</v>
      </c>
      <c r="F735" s="168"/>
      <c r="G735" s="5"/>
    </row>
    <row r="736" spans="1:7" ht="23.25">
      <c r="A736" s="5" t="s">
        <v>1606</v>
      </c>
      <c r="B736" s="150" t="s">
        <v>170</v>
      </c>
      <c r="C736" s="151" t="s">
        <v>13</v>
      </c>
      <c r="D736" s="152">
        <v>10</v>
      </c>
      <c r="E736" s="153">
        <v>25000</v>
      </c>
      <c r="F736" s="168">
        <v>70000</v>
      </c>
      <c r="G736" s="5"/>
    </row>
    <row r="737" spans="1:7" ht="23.25">
      <c r="A737" s="5" t="s">
        <v>1125</v>
      </c>
      <c r="B737" s="150" t="s">
        <v>170</v>
      </c>
      <c r="C737" s="151" t="s">
        <v>172</v>
      </c>
      <c r="D737" s="152">
        <v>5</v>
      </c>
      <c r="E737" s="153">
        <v>25000</v>
      </c>
      <c r="F737" s="168">
        <v>80000</v>
      </c>
      <c r="G737" s="5"/>
    </row>
    <row r="738" spans="1:7" ht="23.25">
      <c r="A738" s="5" t="s">
        <v>1125</v>
      </c>
      <c r="B738" s="150" t="s">
        <v>170</v>
      </c>
      <c r="C738" s="151" t="s">
        <v>247</v>
      </c>
      <c r="D738" s="152">
        <v>11</v>
      </c>
      <c r="E738" s="153">
        <v>25000</v>
      </c>
      <c r="F738" s="168"/>
      <c r="G738" s="5"/>
    </row>
    <row r="739" spans="1:7" ht="23.25">
      <c r="A739" s="5" t="s">
        <v>1125</v>
      </c>
      <c r="B739" s="150" t="s">
        <v>1559</v>
      </c>
      <c r="C739" s="151" t="s">
        <v>1558</v>
      </c>
      <c r="D739" s="152">
        <v>4</v>
      </c>
      <c r="E739" s="153">
        <v>25000</v>
      </c>
      <c r="F739" s="168"/>
      <c r="G739" s="5"/>
    </row>
    <row r="740" spans="1:7" ht="23.25">
      <c r="A740" s="41" t="s">
        <v>524</v>
      </c>
      <c r="B740" s="150" t="s">
        <v>170</v>
      </c>
      <c r="C740" s="151" t="s">
        <v>931</v>
      </c>
      <c r="D740" s="152">
        <v>6</v>
      </c>
      <c r="E740" s="153">
        <v>25000</v>
      </c>
      <c r="F740" s="168"/>
      <c r="G740" s="5"/>
    </row>
    <row r="741" spans="1:7" ht="23.25">
      <c r="A741" s="5" t="s">
        <v>1125</v>
      </c>
      <c r="B741" s="150" t="s">
        <v>928</v>
      </c>
      <c r="C741" s="151" t="s">
        <v>930</v>
      </c>
      <c r="D741" s="152">
        <v>2</v>
      </c>
      <c r="E741" s="153">
        <v>25000</v>
      </c>
      <c r="F741" s="168"/>
      <c r="G741" s="5"/>
    </row>
    <row r="742" spans="1:7" ht="23.25">
      <c r="A742" s="5" t="s">
        <v>1125</v>
      </c>
      <c r="B742" s="150" t="s">
        <v>928</v>
      </c>
      <c r="C742" s="151" t="s">
        <v>929</v>
      </c>
      <c r="D742" s="152">
        <v>3</v>
      </c>
      <c r="E742" s="153">
        <v>25000</v>
      </c>
      <c r="F742" s="168"/>
      <c r="G742" s="5"/>
    </row>
    <row r="743" spans="1:7" ht="23.25">
      <c r="A743" s="5" t="s">
        <v>1125</v>
      </c>
      <c r="B743" s="213" t="s">
        <v>1493</v>
      </c>
      <c r="C743" s="151" t="s">
        <v>1492</v>
      </c>
      <c r="D743" s="152">
        <v>9</v>
      </c>
      <c r="E743" s="153">
        <v>25000</v>
      </c>
      <c r="F743" s="168"/>
      <c r="G743" s="5"/>
    </row>
    <row r="744" spans="1:7" ht="23.25">
      <c r="A744" s="5" t="s">
        <v>1125</v>
      </c>
      <c r="B744" s="150" t="s">
        <v>170</v>
      </c>
      <c r="C744" s="151" t="s">
        <v>888</v>
      </c>
      <c r="D744" s="152">
        <v>11</v>
      </c>
      <c r="E744" s="153">
        <v>25000</v>
      </c>
      <c r="F744" s="168" t="s">
        <v>524</v>
      </c>
      <c r="G744" s="5"/>
    </row>
    <row r="745" spans="1:7" ht="23.25">
      <c r="A745" s="5" t="s">
        <v>1125</v>
      </c>
      <c r="B745" s="150" t="s">
        <v>170</v>
      </c>
      <c r="C745" s="151" t="s">
        <v>175</v>
      </c>
      <c r="D745" s="152">
        <v>9</v>
      </c>
      <c r="E745" s="153">
        <v>25000</v>
      </c>
      <c r="F745" s="168"/>
      <c r="G745" s="5"/>
    </row>
    <row r="746" spans="1:7" ht="23.25">
      <c r="A746" s="5" t="s">
        <v>1125</v>
      </c>
      <c r="B746" s="150" t="s">
        <v>170</v>
      </c>
      <c r="C746" s="151" t="s">
        <v>174</v>
      </c>
      <c r="D746" s="152">
        <v>6</v>
      </c>
      <c r="E746" s="153">
        <v>25000</v>
      </c>
      <c r="F746" s="168"/>
      <c r="G746" s="5"/>
    </row>
    <row r="747" spans="1:7" ht="23.25">
      <c r="B747" s="297" t="s">
        <v>933</v>
      </c>
      <c r="C747" s="298"/>
      <c r="D747" s="298"/>
      <c r="E747" s="299"/>
      <c r="F747" s="168"/>
      <c r="G747" s="5"/>
    </row>
    <row r="748" spans="1:7" ht="23.25">
      <c r="A748" s="5" t="s">
        <v>1125</v>
      </c>
      <c r="B748" s="150" t="s">
        <v>277</v>
      </c>
      <c r="C748" s="151" t="s">
        <v>169</v>
      </c>
      <c r="D748" s="152">
        <v>6</v>
      </c>
      <c r="E748" s="153">
        <v>10000</v>
      </c>
      <c r="F748" s="154"/>
      <c r="G748" s="5"/>
    </row>
    <row r="749" spans="1:7" ht="23.25">
      <c r="A749" s="5" t="s">
        <v>1125</v>
      </c>
      <c r="B749" s="150" t="s">
        <v>277</v>
      </c>
      <c r="C749" s="151" t="s">
        <v>175</v>
      </c>
      <c r="D749" s="152">
        <v>5</v>
      </c>
      <c r="E749" s="153">
        <v>10000</v>
      </c>
      <c r="F749" s="154"/>
      <c r="G749" s="5"/>
    </row>
    <row r="750" spans="1:7" ht="23.25">
      <c r="A750" s="5" t="s">
        <v>1125</v>
      </c>
      <c r="B750" s="150" t="s">
        <v>277</v>
      </c>
      <c r="C750" s="151" t="s">
        <v>885</v>
      </c>
      <c r="D750" s="152">
        <v>10</v>
      </c>
      <c r="E750" s="153">
        <v>35000</v>
      </c>
      <c r="F750" s="154"/>
      <c r="G750" s="5"/>
    </row>
    <row r="751" spans="1:7" ht="23.25">
      <c r="A751" s="5" t="s">
        <v>1125</v>
      </c>
      <c r="B751" s="150" t="s">
        <v>277</v>
      </c>
      <c r="C751" s="151" t="s">
        <v>209</v>
      </c>
      <c r="D751" s="152">
        <v>5</v>
      </c>
      <c r="E751" s="153">
        <v>10000</v>
      </c>
      <c r="F751" s="154"/>
      <c r="G751" s="5"/>
    </row>
    <row r="752" spans="1:7" ht="23.25">
      <c r="A752" s="5" t="s">
        <v>1125</v>
      </c>
      <c r="B752" s="150" t="s">
        <v>277</v>
      </c>
      <c r="C752" s="151" t="s">
        <v>801</v>
      </c>
      <c r="D752" s="152">
        <v>9</v>
      </c>
      <c r="E752" s="153">
        <v>35000</v>
      </c>
      <c r="F752" s="154"/>
      <c r="G752" s="5"/>
    </row>
    <row r="753" spans="1:7" ht="23.25">
      <c r="A753" s="5" t="s">
        <v>1125</v>
      </c>
      <c r="B753" s="150" t="s">
        <v>277</v>
      </c>
      <c r="C753" s="151" t="s">
        <v>845</v>
      </c>
      <c r="D753" s="152">
        <v>7</v>
      </c>
      <c r="E753" s="153">
        <v>10000</v>
      </c>
      <c r="F753" s="154"/>
      <c r="G753" s="5"/>
    </row>
    <row r="754" spans="1:7" ht="23.25">
      <c r="A754" s="5" t="s">
        <v>1125</v>
      </c>
      <c r="B754" s="150" t="s">
        <v>277</v>
      </c>
      <c r="C754" s="151" t="s">
        <v>802</v>
      </c>
      <c r="D754" s="152">
        <v>1</v>
      </c>
      <c r="E754" s="153">
        <v>10000</v>
      </c>
      <c r="F754" s="194"/>
      <c r="G754" s="5"/>
    </row>
    <row r="755" spans="1:7" ht="23.25">
      <c r="B755" s="297" t="s">
        <v>932</v>
      </c>
      <c r="C755" s="298"/>
      <c r="D755" s="298"/>
      <c r="E755" s="298"/>
      <c r="F755" s="206"/>
      <c r="G755" s="5"/>
    </row>
    <row r="756" spans="1:7" ht="23.25">
      <c r="A756" s="5" t="s">
        <v>1125</v>
      </c>
      <c r="B756" s="150" t="s">
        <v>513</v>
      </c>
      <c r="C756" s="151" t="s">
        <v>514</v>
      </c>
      <c r="D756" s="152">
        <v>1</v>
      </c>
      <c r="E756" s="153">
        <v>30000</v>
      </c>
      <c r="F756" s="206"/>
      <c r="G756" s="5"/>
    </row>
    <row r="757" spans="1:7" ht="23.25">
      <c r="A757" s="5" t="s">
        <v>1125</v>
      </c>
      <c r="B757" s="150" t="s">
        <v>537</v>
      </c>
      <c r="C757" s="151" t="s">
        <v>538</v>
      </c>
      <c r="D757" s="152">
        <v>1</v>
      </c>
      <c r="E757" s="153">
        <v>30000</v>
      </c>
      <c r="F757" s="154"/>
      <c r="G757" s="5"/>
    </row>
    <row r="758" spans="1:7" ht="23.25">
      <c r="A758" s="5" t="s">
        <v>1125</v>
      </c>
      <c r="B758" s="150" t="s">
        <v>537</v>
      </c>
      <c r="C758" s="151" t="s">
        <v>934</v>
      </c>
      <c r="D758" s="152">
        <v>1</v>
      </c>
      <c r="E758" s="153">
        <v>30000</v>
      </c>
      <c r="F758" s="154"/>
      <c r="G758" s="5"/>
    </row>
    <row r="759" spans="1:7" ht="23.25">
      <c r="A759" s="5" t="s">
        <v>1125</v>
      </c>
      <c r="B759" s="150" t="s">
        <v>537</v>
      </c>
      <c r="C759" s="151" t="s">
        <v>935</v>
      </c>
      <c r="D759" s="152">
        <v>1</v>
      </c>
      <c r="E759" s="153">
        <v>30000</v>
      </c>
      <c r="F759" s="134"/>
      <c r="G759" s="5"/>
    </row>
    <row r="760" spans="1:7" ht="23.25">
      <c r="A760" s="5" t="s">
        <v>1125</v>
      </c>
      <c r="B760" s="150" t="s">
        <v>537</v>
      </c>
      <c r="C760" s="151" t="s">
        <v>176</v>
      </c>
      <c r="D760" s="152">
        <v>1</v>
      </c>
      <c r="E760" s="153">
        <v>30000</v>
      </c>
      <c r="F760" s="134"/>
      <c r="G760" s="5"/>
    </row>
    <row r="761" spans="1:7" ht="23.25">
      <c r="A761" s="5" t="s">
        <v>1125</v>
      </c>
      <c r="B761" s="150" t="s">
        <v>537</v>
      </c>
      <c r="C761" s="151" t="s">
        <v>936</v>
      </c>
      <c r="D761" s="152">
        <v>1</v>
      </c>
      <c r="E761" s="153">
        <v>30000</v>
      </c>
      <c r="F761" s="134"/>
      <c r="G761" s="5"/>
    </row>
    <row r="762" spans="1:7" ht="23.25">
      <c r="A762" s="5" t="s">
        <v>1125</v>
      </c>
      <c r="B762" s="150" t="s">
        <v>1561</v>
      </c>
      <c r="C762" s="151" t="s">
        <v>1560</v>
      </c>
      <c r="D762" s="152">
        <v>1</v>
      </c>
      <c r="E762" s="153">
        <v>40000</v>
      </c>
      <c r="F762" s="134"/>
      <c r="G762" s="5"/>
    </row>
    <row r="763" spans="1:7" ht="23.25">
      <c r="A763" s="5" t="s">
        <v>1125</v>
      </c>
      <c r="B763" s="150" t="s">
        <v>938</v>
      </c>
      <c r="C763" s="151" t="s">
        <v>937</v>
      </c>
      <c r="D763" s="152">
        <v>1</v>
      </c>
      <c r="E763" s="153">
        <v>30000</v>
      </c>
      <c r="F763" s="154"/>
      <c r="G763" s="5"/>
    </row>
    <row r="764" spans="1:7" ht="23.25">
      <c r="A764" s="5" t="s">
        <v>1125</v>
      </c>
      <c r="B764" s="150" t="s">
        <v>938</v>
      </c>
      <c r="C764" s="151" t="s">
        <v>820</v>
      </c>
      <c r="D764" s="152">
        <v>1</v>
      </c>
      <c r="E764" s="153">
        <v>30000</v>
      </c>
      <c r="F764" s="154"/>
      <c r="G764" s="5"/>
    </row>
    <row r="765" spans="1:7" ht="23.25">
      <c r="B765" s="297" t="s">
        <v>533</v>
      </c>
      <c r="C765" s="298"/>
      <c r="D765" s="298"/>
      <c r="E765" s="299"/>
      <c r="F765" s="168"/>
      <c r="G765" s="5"/>
    </row>
    <row r="766" spans="1:7" ht="23.25">
      <c r="A766" s="5" t="s">
        <v>1125</v>
      </c>
      <c r="B766" s="150" t="s">
        <v>163</v>
      </c>
      <c r="C766" s="151" t="s">
        <v>12</v>
      </c>
      <c r="D766" s="152">
        <v>9</v>
      </c>
      <c r="E766" s="153">
        <v>18000</v>
      </c>
      <c r="F766" s="154" t="s">
        <v>532</v>
      </c>
      <c r="G766" s="5"/>
    </row>
    <row r="767" spans="1:7" ht="23.25">
      <c r="A767" s="5" t="s">
        <v>1125</v>
      </c>
      <c r="B767" s="150" t="s">
        <v>163</v>
      </c>
      <c r="C767" s="151" t="s">
        <v>25</v>
      </c>
      <c r="D767" s="152">
        <v>6</v>
      </c>
      <c r="E767" s="153">
        <v>18000</v>
      </c>
      <c r="F767" s="154"/>
      <c r="G767" s="5"/>
    </row>
    <row r="768" spans="1:7" ht="23.25">
      <c r="A768" s="5" t="s">
        <v>1125</v>
      </c>
      <c r="B768" s="150" t="s">
        <v>163</v>
      </c>
      <c r="C768" s="151" t="s">
        <v>26</v>
      </c>
      <c r="D768" s="152">
        <v>4</v>
      </c>
      <c r="E768" s="153">
        <v>18000</v>
      </c>
      <c r="F768" s="154"/>
      <c r="G768" s="5"/>
    </row>
    <row r="769" spans="1:7" ht="23.25">
      <c r="A769" s="41" t="s">
        <v>1980</v>
      </c>
      <c r="B769" s="150" t="s">
        <v>163</v>
      </c>
      <c r="C769" s="151" t="s">
        <v>253</v>
      </c>
      <c r="D769" s="152">
        <v>10</v>
      </c>
      <c r="E769" s="153">
        <v>18000</v>
      </c>
      <c r="F769" s="154" t="s">
        <v>1607</v>
      </c>
      <c r="G769" s="5"/>
    </row>
    <row r="770" spans="1:7" ht="23.25">
      <c r="A770" s="5" t="s">
        <v>1125</v>
      </c>
      <c r="B770" s="150" t="s">
        <v>163</v>
      </c>
      <c r="C770" s="151" t="s">
        <v>217</v>
      </c>
      <c r="D770" s="152">
        <v>8</v>
      </c>
      <c r="E770" s="153">
        <v>18000</v>
      </c>
      <c r="F770" s="154"/>
      <c r="G770" s="5"/>
    </row>
    <row r="771" spans="1:7" ht="23.25">
      <c r="A771" s="5" t="s">
        <v>1125</v>
      </c>
      <c r="B771" s="150" t="s">
        <v>163</v>
      </c>
      <c r="C771" s="151" t="s">
        <v>940</v>
      </c>
      <c r="D771" s="152">
        <v>7</v>
      </c>
      <c r="E771" s="153">
        <v>18000</v>
      </c>
      <c r="F771" s="154"/>
      <c r="G771" s="5"/>
    </row>
    <row r="772" spans="1:7" ht="23.25">
      <c r="A772" s="5" t="s">
        <v>1125</v>
      </c>
      <c r="B772" s="150" t="s">
        <v>163</v>
      </c>
      <c r="C772" s="151" t="s">
        <v>941</v>
      </c>
      <c r="D772" s="152">
        <v>2</v>
      </c>
      <c r="E772" s="153">
        <v>18000</v>
      </c>
      <c r="F772" s="154"/>
      <c r="G772" s="5"/>
    </row>
    <row r="773" spans="1:7" ht="23.25">
      <c r="A773" s="5" t="s">
        <v>1963</v>
      </c>
      <c r="B773" s="150" t="s">
        <v>163</v>
      </c>
      <c r="C773" s="151" t="s">
        <v>531</v>
      </c>
      <c r="D773" s="152">
        <v>1</v>
      </c>
      <c r="E773" s="153">
        <v>18000</v>
      </c>
      <c r="F773" s="154"/>
      <c r="G773" s="5"/>
    </row>
    <row r="774" spans="1:7" ht="23.25">
      <c r="A774" s="5" t="s">
        <v>1125</v>
      </c>
      <c r="B774" s="150" t="s">
        <v>163</v>
      </c>
      <c r="C774" s="164" t="s">
        <v>942</v>
      </c>
      <c r="D774" s="165">
        <v>1</v>
      </c>
      <c r="E774" s="153">
        <v>18000</v>
      </c>
      <c r="F774" s="154"/>
      <c r="G774" s="5"/>
    </row>
    <row r="775" spans="1:7" ht="23.25">
      <c r="B775" s="297" t="s">
        <v>939</v>
      </c>
      <c r="C775" s="298"/>
      <c r="D775" s="298"/>
      <c r="E775" s="299"/>
      <c r="F775" s="154"/>
      <c r="G775" s="5"/>
    </row>
    <row r="776" spans="1:7" ht="23.25">
      <c r="A776" s="5" t="s">
        <v>1125</v>
      </c>
      <c r="B776" s="163" t="s">
        <v>1562</v>
      </c>
      <c r="C776" s="150" t="s">
        <v>1981</v>
      </c>
      <c r="D776" s="165">
        <v>1</v>
      </c>
      <c r="E776" s="255">
        <v>20000</v>
      </c>
      <c r="F776" s="154"/>
      <c r="G776" s="5"/>
    </row>
    <row r="777" spans="1:7" ht="23.25">
      <c r="A777" s="5" t="s">
        <v>1125</v>
      </c>
      <c r="B777" s="163" t="s">
        <v>1563</v>
      </c>
      <c r="C777" s="150" t="s">
        <v>1981</v>
      </c>
      <c r="D777" s="165">
        <v>1</v>
      </c>
      <c r="E777" s="255">
        <v>20000</v>
      </c>
      <c r="F777" s="154"/>
      <c r="G777" s="5"/>
    </row>
    <row r="778" spans="1:7" ht="23.25">
      <c r="A778" s="5" t="s">
        <v>1125</v>
      </c>
      <c r="B778" s="163" t="s">
        <v>1565</v>
      </c>
      <c r="C778" s="150" t="s">
        <v>1566</v>
      </c>
      <c r="D778" s="165">
        <v>1</v>
      </c>
      <c r="E778" s="255">
        <v>20000</v>
      </c>
      <c r="F778" s="154"/>
      <c r="G778" s="5"/>
    </row>
    <row r="779" spans="1:7" ht="23.25">
      <c r="A779" s="5" t="s">
        <v>1125</v>
      </c>
      <c r="B779" s="163" t="s">
        <v>1564</v>
      </c>
      <c r="C779" s="150" t="s">
        <v>1981</v>
      </c>
      <c r="D779" s="165">
        <v>3</v>
      </c>
      <c r="E779" s="255">
        <v>20000</v>
      </c>
      <c r="F779" s="154"/>
      <c r="G779" s="5"/>
    </row>
    <row r="780" spans="1:7" ht="23.25">
      <c r="A780" s="5" t="s">
        <v>1125</v>
      </c>
      <c r="B780" s="150" t="s">
        <v>889</v>
      </c>
      <c r="C780" s="151" t="s">
        <v>553</v>
      </c>
      <c r="D780" s="152">
        <v>3</v>
      </c>
      <c r="E780" s="153">
        <v>10000</v>
      </c>
      <c r="F780" s="154"/>
      <c r="G780" s="5"/>
    </row>
    <row r="781" spans="1:7" ht="23.25">
      <c r="A781" s="5" t="s">
        <v>1606</v>
      </c>
      <c r="B781" s="150" t="s">
        <v>943</v>
      </c>
      <c r="C781" s="151" t="s">
        <v>553</v>
      </c>
      <c r="D781" s="152">
        <v>2</v>
      </c>
      <c r="E781" s="153">
        <v>10000</v>
      </c>
      <c r="F781" s="154"/>
      <c r="G781" s="5"/>
    </row>
    <row r="782" spans="1:7" ht="23.25">
      <c r="A782" s="5" t="s">
        <v>1125</v>
      </c>
      <c r="B782" s="150" t="s">
        <v>890</v>
      </c>
      <c r="C782" s="151" t="s">
        <v>553</v>
      </c>
      <c r="D782" s="152">
        <v>2</v>
      </c>
      <c r="E782" s="153">
        <v>10000</v>
      </c>
      <c r="F782" s="154"/>
      <c r="G782" s="5"/>
    </row>
    <row r="783" spans="1:7" ht="23.25">
      <c r="A783" s="5" t="s">
        <v>1125</v>
      </c>
      <c r="B783" s="150" t="s">
        <v>891</v>
      </c>
      <c r="C783" s="151" t="s">
        <v>553</v>
      </c>
      <c r="D783" s="152">
        <v>2</v>
      </c>
      <c r="E783" s="153">
        <v>10000</v>
      </c>
      <c r="F783" s="154"/>
      <c r="G783" s="5"/>
    </row>
    <row r="784" spans="1:7" ht="23.25">
      <c r="A784" s="5" t="s">
        <v>1125</v>
      </c>
      <c r="B784" s="150" t="s">
        <v>892</v>
      </c>
      <c r="C784" s="151" t="s">
        <v>553</v>
      </c>
      <c r="D784" s="152">
        <v>2</v>
      </c>
      <c r="E784" s="153">
        <v>10000</v>
      </c>
      <c r="F784" s="154"/>
      <c r="G784" s="5"/>
    </row>
    <row r="785" spans="1:7" ht="23.25">
      <c r="A785" s="5" t="s">
        <v>1125</v>
      </c>
      <c r="B785" s="150" t="s">
        <v>893</v>
      </c>
      <c r="C785" s="151" t="s">
        <v>553</v>
      </c>
      <c r="D785" s="152">
        <v>2</v>
      </c>
      <c r="E785" s="153">
        <v>10000</v>
      </c>
      <c r="F785" s="154"/>
      <c r="G785" s="5"/>
    </row>
    <row r="786" spans="1:7" ht="23.25">
      <c r="A786" s="5" t="s">
        <v>1125</v>
      </c>
      <c r="B786" s="150" t="s">
        <v>282</v>
      </c>
      <c r="C786" s="151" t="s">
        <v>521</v>
      </c>
      <c r="D786" s="152">
        <v>2</v>
      </c>
      <c r="E786" s="153">
        <v>8000</v>
      </c>
      <c r="F786" s="154"/>
      <c r="G786" s="5"/>
    </row>
    <row r="787" spans="1:7" ht="21" customHeight="1">
      <c r="B787" s="303" t="s">
        <v>589</v>
      </c>
      <c r="C787" s="304"/>
      <c r="D787" s="304"/>
      <c r="E787" s="305"/>
      <c r="F787" s="188"/>
      <c r="G787" s="5"/>
    </row>
    <row r="788" spans="1:7" ht="23.25">
      <c r="A788" s="5" t="s">
        <v>1606</v>
      </c>
      <c r="B788" s="150" t="s">
        <v>296</v>
      </c>
      <c r="C788" s="151" t="s">
        <v>676</v>
      </c>
      <c r="D788" s="152">
        <v>1</v>
      </c>
      <c r="E788" s="153">
        <v>175000</v>
      </c>
      <c r="F788" s="154"/>
      <c r="G788" s="5"/>
    </row>
    <row r="789" spans="1:7" ht="23.25">
      <c r="A789" s="5" t="s">
        <v>1606</v>
      </c>
      <c r="B789" s="150" t="s">
        <v>738</v>
      </c>
      <c r="C789" s="151" t="s">
        <v>677</v>
      </c>
      <c r="D789" s="152">
        <v>1</v>
      </c>
      <c r="E789" s="153">
        <v>150000</v>
      </c>
      <c r="F789" s="154"/>
      <c r="G789" s="5"/>
    </row>
    <row r="790" spans="1:7" ht="23.25">
      <c r="A790" s="5" t="s">
        <v>1606</v>
      </c>
      <c r="B790" s="150" t="s">
        <v>295</v>
      </c>
      <c r="C790" s="151" t="s">
        <v>678</v>
      </c>
      <c r="D790" s="152">
        <v>1</v>
      </c>
      <c r="E790" s="153">
        <v>160000</v>
      </c>
      <c r="F790" s="154"/>
      <c r="G790" s="5"/>
    </row>
    <row r="791" spans="1:7" ht="23.25">
      <c r="A791" s="5" t="s">
        <v>1606</v>
      </c>
      <c r="B791" s="150" t="s">
        <v>806</v>
      </c>
      <c r="C791" s="151"/>
      <c r="D791" s="152">
        <v>1</v>
      </c>
      <c r="E791" s="168"/>
      <c r="F791" s="154"/>
      <c r="G791" s="5"/>
    </row>
    <row r="792" spans="1:7" ht="23.25">
      <c r="A792" s="5" t="s">
        <v>1606</v>
      </c>
      <c r="B792" s="146" t="s">
        <v>1022</v>
      </c>
      <c r="C792" s="138" t="s">
        <v>679</v>
      </c>
      <c r="D792" s="139">
        <v>2</v>
      </c>
      <c r="E792" s="157">
        <v>200000</v>
      </c>
      <c r="F792" s="137"/>
      <c r="G792" s="5"/>
    </row>
    <row r="793" spans="1:7" ht="23.25">
      <c r="B793" s="297" t="s">
        <v>839</v>
      </c>
      <c r="C793" s="298"/>
      <c r="D793" s="298"/>
      <c r="E793" s="298"/>
      <c r="F793" s="206"/>
      <c r="G793" s="5"/>
    </row>
    <row r="794" spans="1:7" ht="23.25">
      <c r="A794" s="5" t="s">
        <v>1125</v>
      </c>
      <c r="B794" s="146" t="s">
        <v>840</v>
      </c>
      <c r="C794" s="138" t="s">
        <v>1368</v>
      </c>
      <c r="D794" s="139">
        <v>4</v>
      </c>
      <c r="E794" s="157">
        <v>50000</v>
      </c>
      <c r="F794" s="137"/>
      <c r="G794" s="5"/>
    </row>
    <row r="795" spans="1:7" ht="23.25">
      <c r="A795" s="5" t="s">
        <v>1125</v>
      </c>
      <c r="B795" s="146" t="s">
        <v>841</v>
      </c>
      <c r="C795" s="138" t="s">
        <v>128</v>
      </c>
      <c r="D795" s="139">
        <v>1</v>
      </c>
      <c r="E795" s="157">
        <v>50000</v>
      </c>
      <c r="F795" s="137"/>
      <c r="G795" s="5"/>
    </row>
    <row r="796" spans="1:7" ht="23.25">
      <c r="A796" s="5" t="s">
        <v>1125</v>
      </c>
      <c r="B796" s="146" t="s">
        <v>842</v>
      </c>
      <c r="C796" s="138" t="s">
        <v>1369</v>
      </c>
      <c r="D796" s="139">
        <v>1</v>
      </c>
      <c r="E796" s="157">
        <v>50000</v>
      </c>
      <c r="F796" s="137"/>
      <c r="G796" s="5"/>
    </row>
    <row r="797" spans="1:7" ht="23.25">
      <c r="A797" s="5" t="s">
        <v>1125</v>
      </c>
      <c r="B797" s="146" t="s">
        <v>843</v>
      </c>
      <c r="C797" s="138" t="s">
        <v>1369</v>
      </c>
      <c r="D797" s="139">
        <v>1</v>
      </c>
      <c r="E797" s="157">
        <v>50000</v>
      </c>
      <c r="F797" s="137"/>
      <c r="G797" s="5"/>
    </row>
    <row r="798" spans="1:7" s="5" customFormat="1" ht="23.25">
      <c r="B798" s="297" t="s">
        <v>114</v>
      </c>
      <c r="C798" s="298"/>
      <c r="D798" s="298"/>
      <c r="E798" s="298"/>
      <c r="F798" s="145"/>
    </row>
    <row r="799" spans="1:7" s="5" customFormat="1" ht="23.25">
      <c r="A799" s="41" t="s">
        <v>1982</v>
      </c>
      <c r="B799" s="150" t="s">
        <v>273</v>
      </c>
      <c r="C799" s="151" t="s">
        <v>1141</v>
      </c>
      <c r="D799" s="152">
        <v>1</v>
      </c>
      <c r="E799" s="153" t="s">
        <v>204</v>
      </c>
      <c r="F799" s="154" t="s">
        <v>918</v>
      </c>
    </row>
    <row r="800" spans="1:7" s="5" customFormat="1" ht="23.25">
      <c r="A800" s="41" t="s">
        <v>1983</v>
      </c>
      <c r="B800" s="150" t="s">
        <v>213</v>
      </c>
      <c r="C800" s="151" t="s">
        <v>1139</v>
      </c>
      <c r="D800" s="152">
        <v>1</v>
      </c>
      <c r="E800" s="153" t="s">
        <v>203</v>
      </c>
      <c r="F800" s="154" t="s">
        <v>1143</v>
      </c>
    </row>
    <row r="801" spans="1:6" s="5" customFormat="1" ht="23.25">
      <c r="A801" s="5" t="s">
        <v>1606</v>
      </c>
      <c r="B801" s="150" t="s">
        <v>115</v>
      </c>
      <c r="C801" s="151" t="s">
        <v>1142</v>
      </c>
      <c r="D801" s="152">
        <v>2</v>
      </c>
      <c r="E801" s="153">
        <v>100000</v>
      </c>
      <c r="F801" s="154" t="s">
        <v>1144</v>
      </c>
    </row>
    <row r="802" spans="1:6" s="5" customFormat="1" ht="23.25">
      <c r="A802" s="41" t="s">
        <v>1959</v>
      </c>
      <c r="B802" s="150" t="s">
        <v>242</v>
      </c>
      <c r="C802" s="151" t="s">
        <v>883</v>
      </c>
      <c r="D802" s="152">
        <v>1</v>
      </c>
      <c r="E802" s="153" t="s">
        <v>200</v>
      </c>
      <c r="F802" s="154" t="s">
        <v>1063</v>
      </c>
    </row>
    <row r="803" spans="1:6" s="5" customFormat="1" ht="23.25">
      <c r="A803" s="41" t="s">
        <v>1983</v>
      </c>
      <c r="B803" s="150" t="s">
        <v>116</v>
      </c>
      <c r="C803" s="151" t="s">
        <v>1140</v>
      </c>
      <c r="D803" s="152">
        <v>1</v>
      </c>
      <c r="E803" s="153" t="s">
        <v>204</v>
      </c>
      <c r="F803" s="154" t="s">
        <v>1143</v>
      </c>
    </row>
    <row r="804" spans="1:6" s="5" customFormat="1" ht="23.25">
      <c r="B804" s="300" t="s">
        <v>1489</v>
      </c>
      <c r="C804" s="301"/>
      <c r="D804" s="301"/>
      <c r="E804" s="301"/>
      <c r="F804" s="194"/>
    </row>
    <row r="805" spans="1:6" s="5" customFormat="1" ht="23.25">
      <c r="A805" s="5" t="s">
        <v>1125</v>
      </c>
      <c r="B805" s="163" t="s">
        <v>1473</v>
      </c>
      <c r="C805" s="164" t="s">
        <v>1474</v>
      </c>
      <c r="D805" s="165">
        <v>6</v>
      </c>
      <c r="E805" s="246">
        <v>20000</v>
      </c>
      <c r="F805" s="244">
        <v>70000</v>
      </c>
    </row>
    <row r="806" spans="1:6" s="5" customFormat="1" ht="23.25">
      <c r="A806" s="5" t="s">
        <v>1125</v>
      </c>
      <c r="B806" s="163" t="s">
        <v>1471</v>
      </c>
      <c r="C806" s="164" t="s">
        <v>1474</v>
      </c>
      <c r="D806" s="165">
        <v>3</v>
      </c>
      <c r="E806" s="246">
        <v>20000</v>
      </c>
      <c r="F806" s="244">
        <v>70000</v>
      </c>
    </row>
    <row r="807" spans="1:6" s="5" customFormat="1" ht="23.25">
      <c r="A807" s="111" t="s">
        <v>1606</v>
      </c>
      <c r="B807" s="163" t="s">
        <v>1472</v>
      </c>
      <c r="C807" s="164" t="s">
        <v>1475</v>
      </c>
      <c r="D807" s="165">
        <v>4</v>
      </c>
      <c r="E807" s="246">
        <v>20000</v>
      </c>
      <c r="F807" s="244">
        <v>70000</v>
      </c>
    </row>
    <row r="808" spans="1:6" s="5" customFormat="1" ht="23.25">
      <c r="B808" s="297" t="s">
        <v>894</v>
      </c>
      <c r="C808" s="298"/>
      <c r="D808" s="298"/>
      <c r="E808" s="298"/>
      <c r="F808" s="207"/>
    </row>
    <row r="809" spans="1:6" s="5" customFormat="1" ht="23.25">
      <c r="A809" s="5" t="s">
        <v>1125</v>
      </c>
      <c r="B809" s="146" t="s">
        <v>1987</v>
      </c>
      <c r="C809" s="146" t="s">
        <v>906</v>
      </c>
      <c r="D809" s="139">
        <v>1</v>
      </c>
      <c r="E809" s="157">
        <v>50000</v>
      </c>
      <c r="F809" s="137"/>
    </row>
    <row r="810" spans="1:6" s="5" customFormat="1" ht="23.25">
      <c r="A810" s="5" t="s">
        <v>918</v>
      </c>
      <c r="B810" s="146" t="s">
        <v>895</v>
      </c>
      <c r="C810" s="146" t="s">
        <v>907</v>
      </c>
      <c r="D810" s="139">
        <v>1</v>
      </c>
      <c r="E810" s="157">
        <v>50000</v>
      </c>
      <c r="F810" s="137"/>
    </row>
    <row r="811" spans="1:6" s="5" customFormat="1" ht="23.25">
      <c r="A811" s="5" t="s">
        <v>918</v>
      </c>
      <c r="B811" s="146" t="s">
        <v>896</v>
      </c>
      <c r="C811" s="146" t="s">
        <v>908</v>
      </c>
      <c r="D811" s="139">
        <v>1</v>
      </c>
      <c r="E811" s="157">
        <v>50000</v>
      </c>
      <c r="F811" s="137"/>
    </row>
    <row r="812" spans="1:6" s="5" customFormat="1" ht="23.25">
      <c r="A812" s="5" t="s">
        <v>918</v>
      </c>
      <c r="B812" s="135" t="s">
        <v>897</v>
      </c>
      <c r="C812" s="146" t="s">
        <v>909</v>
      </c>
      <c r="D812" s="139">
        <v>1</v>
      </c>
      <c r="E812" s="157">
        <v>40000</v>
      </c>
      <c r="F812" s="137"/>
    </row>
    <row r="813" spans="1:6" s="5" customFormat="1" ht="23.25">
      <c r="A813" s="5" t="s">
        <v>1125</v>
      </c>
      <c r="B813" s="146"/>
      <c r="C813" s="146" t="s">
        <v>910</v>
      </c>
      <c r="D813" s="139">
        <v>1</v>
      </c>
      <c r="E813" s="157">
        <v>40000</v>
      </c>
      <c r="F813" s="137"/>
    </row>
    <row r="814" spans="1:6" s="5" customFormat="1" ht="23.25">
      <c r="A814" s="5" t="s">
        <v>1125</v>
      </c>
      <c r="B814" s="146"/>
      <c r="C814" s="146" t="s">
        <v>911</v>
      </c>
      <c r="D814" s="139">
        <v>1</v>
      </c>
      <c r="E814" s="157">
        <v>40000</v>
      </c>
      <c r="F814" s="137"/>
    </row>
    <row r="815" spans="1:6" s="5" customFormat="1" ht="23.25">
      <c r="A815" s="5" t="s">
        <v>1125</v>
      </c>
      <c r="B815" s="146"/>
      <c r="C815" s="146" t="s">
        <v>912</v>
      </c>
      <c r="D815" s="139">
        <v>1</v>
      </c>
      <c r="E815" s="157">
        <v>40000</v>
      </c>
      <c r="F815" s="137"/>
    </row>
    <row r="816" spans="1:6" s="5" customFormat="1" ht="23.25">
      <c r="A816" s="5" t="s">
        <v>1125</v>
      </c>
      <c r="B816" s="146"/>
      <c r="C816" s="146" t="s">
        <v>913</v>
      </c>
      <c r="D816" s="139">
        <v>1</v>
      </c>
      <c r="E816" s="157">
        <v>40000</v>
      </c>
      <c r="F816" s="137"/>
    </row>
    <row r="817" spans="1:6" s="5" customFormat="1" ht="23.25">
      <c r="A817" s="5" t="s">
        <v>1125</v>
      </c>
      <c r="B817" s="135" t="s">
        <v>898</v>
      </c>
      <c r="C817" s="146" t="s">
        <v>914</v>
      </c>
      <c r="D817" s="139">
        <v>1</v>
      </c>
      <c r="E817" s="157">
        <v>40000</v>
      </c>
      <c r="F817" s="137"/>
    </row>
    <row r="818" spans="1:6" s="5" customFormat="1" ht="23.25">
      <c r="A818" s="5" t="s">
        <v>1125</v>
      </c>
      <c r="B818" s="146"/>
      <c r="C818" s="146" t="s">
        <v>899</v>
      </c>
      <c r="D818" s="139">
        <v>1</v>
      </c>
      <c r="E818" s="157">
        <v>40000</v>
      </c>
      <c r="F818" s="137"/>
    </row>
    <row r="819" spans="1:6" s="5" customFormat="1" ht="23.25">
      <c r="A819" s="5" t="s">
        <v>1125</v>
      </c>
      <c r="B819" s="146"/>
      <c r="C819" s="146" t="s">
        <v>900</v>
      </c>
      <c r="D819" s="139">
        <v>1</v>
      </c>
      <c r="E819" s="157">
        <v>60000</v>
      </c>
      <c r="F819" s="137"/>
    </row>
    <row r="820" spans="1:6" s="5" customFormat="1" ht="23.25">
      <c r="A820" s="5" t="s">
        <v>918</v>
      </c>
      <c r="B820" s="146"/>
      <c r="C820" s="146" t="s">
        <v>901</v>
      </c>
      <c r="D820" s="139">
        <v>1</v>
      </c>
      <c r="E820" s="157">
        <v>60000</v>
      </c>
      <c r="F820" s="137"/>
    </row>
    <row r="821" spans="1:6" s="5" customFormat="1" ht="23.25">
      <c r="B821" s="135" t="s">
        <v>1370</v>
      </c>
      <c r="C821" s="146" t="s">
        <v>915</v>
      </c>
      <c r="D821" s="139">
        <v>1</v>
      </c>
      <c r="E821" s="157">
        <v>30000</v>
      </c>
      <c r="F821" s="137"/>
    </row>
    <row r="822" spans="1:6" s="5" customFormat="1" ht="23.25">
      <c r="A822" s="5" t="s">
        <v>1125</v>
      </c>
      <c r="B822" s="146"/>
      <c r="C822" s="146" t="s">
        <v>902</v>
      </c>
      <c r="D822" s="139">
        <v>1</v>
      </c>
      <c r="E822" s="157">
        <v>30000</v>
      </c>
      <c r="F822" s="137"/>
    </row>
    <row r="823" spans="1:6" s="5" customFormat="1" ht="23.25">
      <c r="A823" s="5" t="s">
        <v>1125</v>
      </c>
      <c r="B823" s="146"/>
      <c r="C823" s="146" t="s">
        <v>903</v>
      </c>
      <c r="D823" s="139">
        <v>1</v>
      </c>
      <c r="E823" s="157">
        <v>30000</v>
      </c>
      <c r="F823" s="137"/>
    </row>
    <row r="824" spans="1:6" s="5" customFormat="1" ht="23.25">
      <c r="A824" s="5" t="s">
        <v>1125</v>
      </c>
      <c r="B824" s="146"/>
      <c r="C824" s="146" t="s">
        <v>904</v>
      </c>
      <c r="D824" s="139">
        <v>1</v>
      </c>
      <c r="E824" s="157">
        <v>30000</v>
      </c>
      <c r="F824" s="137"/>
    </row>
    <row r="825" spans="1:6" s="5" customFormat="1" ht="23.25">
      <c r="A825" s="5" t="s">
        <v>1125</v>
      </c>
      <c r="B825" s="146"/>
      <c r="C825" s="146" t="s">
        <v>905</v>
      </c>
      <c r="D825" s="139">
        <v>1</v>
      </c>
      <c r="E825" s="157">
        <v>30000</v>
      </c>
      <c r="F825" s="137"/>
    </row>
    <row r="826" spans="1:6" s="5" customFormat="1" ht="23.25">
      <c r="F826" s="137"/>
    </row>
    <row r="827" spans="1:6" s="5" customFormat="1" ht="23.25">
      <c r="B827" s="297" t="s">
        <v>1200</v>
      </c>
      <c r="C827" s="298"/>
      <c r="D827" s="298"/>
      <c r="E827" s="298"/>
      <c r="F827" s="208"/>
    </row>
    <row r="828" spans="1:6" s="5" customFormat="1" ht="23.25">
      <c r="A828" s="57" t="s">
        <v>918</v>
      </c>
      <c r="B828" s="146" t="s">
        <v>1201</v>
      </c>
      <c r="C828" s="146"/>
      <c r="D828" s="139">
        <v>4</v>
      </c>
      <c r="E828" s="157">
        <v>5000</v>
      </c>
      <c r="F828" s="137"/>
    </row>
    <row r="829" spans="1:6" s="5" customFormat="1" ht="23.25">
      <c r="A829" s="57" t="s">
        <v>918</v>
      </c>
      <c r="B829" s="146" t="s">
        <v>1202</v>
      </c>
      <c r="C829" s="146"/>
      <c r="D829" s="139">
        <v>3</v>
      </c>
      <c r="E829" s="157">
        <v>5000</v>
      </c>
      <c r="F829" s="137"/>
    </row>
    <row r="830" spans="1:6" s="5" customFormat="1" ht="23.25">
      <c r="A830" s="57" t="s">
        <v>918</v>
      </c>
      <c r="B830" s="146" t="s">
        <v>1203</v>
      </c>
      <c r="C830" s="146"/>
      <c r="D830" s="139">
        <v>3</v>
      </c>
      <c r="E830" s="157">
        <v>5000</v>
      </c>
      <c r="F830" s="137"/>
    </row>
    <row r="831" spans="1:6" s="5" customFormat="1" ht="23.25">
      <c r="A831" s="57" t="s">
        <v>918</v>
      </c>
      <c r="B831" s="146" t="s">
        <v>1212</v>
      </c>
      <c r="C831" s="146"/>
      <c r="D831" s="139">
        <v>8</v>
      </c>
      <c r="E831" s="157">
        <v>1000</v>
      </c>
      <c r="F831" s="137"/>
    </row>
    <row r="832" spans="1:6" s="5" customFormat="1" ht="23.25">
      <c r="B832" s="297" t="s">
        <v>1490</v>
      </c>
      <c r="C832" s="298"/>
      <c r="D832" s="298"/>
      <c r="E832" s="299"/>
      <c r="F832" s="159"/>
    </row>
    <row r="833" spans="1:7" s="5" customFormat="1" ht="23.25">
      <c r="A833" s="41" t="s">
        <v>1666</v>
      </c>
      <c r="B833" s="163" t="s">
        <v>1883</v>
      </c>
      <c r="C833" s="144"/>
      <c r="D833" s="165">
        <v>5</v>
      </c>
      <c r="E833" s="145"/>
      <c r="F833" s="159"/>
    </row>
    <row r="834" spans="1:7" s="5" customFormat="1" ht="23.25">
      <c r="B834" s="163" t="s">
        <v>1478</v>
      </c>
      <c r="C834" s="164" t="s">
        <v>1482</v>
      </c>
      <c r="D834" s="152">
        <v>120</v>
      </c>
      <c r="E834" s="173">
        <v>3500</v>
      </c>
      <c r="F834" s="238">
        <v>35000</v>
      </c>
    </row>
    <row r="835" spans="1:7" s="5" customFormat="1" ht="23.25">
      <c r="B835" s="163" t="s">
        <v>1479</v>
      </c>
      <c r="C835" s="164" t="s">
        <v>1191</v>
      </c>
      <c r="D835" s="152">
        <v>88</v>
      </c>
      <c r="E835" s="173">
        <v>3500</v>
      </c>
      <c r="F835" s="238">
        <v>35000</v>
      </c>
      <c r="G835" s="41" t="s">
        <v>1603</v>
      </c>
    </row>
    <row r="836" spans="1:7" s="5" customFormat="1" ht="23.25">
      <c r="B836" s="163" t="s">
        <v>1480</v>
      </c>
      <c r="C836" s="164" t="s">
        <v>1482</v>
      </c>
      <c r="D836" s="152">
        <v>110</v>
      </c>
      <c r="E836" s="173">
        <v>3500</v>
      </c>
      <c r="F836" s="238">
        <v>30000</v>
      </c>
    </row>
    <row r="837" spans="1:7" s="5" customFormat="1" ht="23.25">
      <c r="B837" s="150" t="s">
        <v>884</v>
      </c>
      <c r="C837" s="164" t="s">
        <v>1191</v>
      </c>
      <c r="D837" s="152">
        <v>60</v>
      </c>
      <c r="E837" s="153">
        <v>3500</v>
      </c>
      <c r="F837" s="238">
        <v>35000</v>
      </c>
    </row>
    <row r="838" spans="1:7" s="5" customFormat="1" ht="23.25">
      <c r="B838" s="239" t="s">
        <v>1406</v>
      </c>
      <c r="C838" s="164" t="s">
        <v>1482</v>
      </c>
      <c r="D838" s="165">
        <v>106</v>
      </c>
      <c r="E838" s="235">
        <v>3500</v>
      </c>
      <c r="F838" s="238">
        <v>40000</v>
      </c>
      <c r="G838" s="5" t="s">
        <v>1611</v>
      </c>
    </row>
    <row r="839" spans="1:7" s="5" customFormat="1" ht="23.25">
      <c r="B839" s="163" t="s">
        <v>1407</v>
      </c>
      <c r="C839" s="164" t="s">
        <v>1482</v>
      </c>
      <c r="D839" s="165">
        <v>59</v>
      </c>
      <c r="E839" s="235">
        <v>3500</v>
      </c>
      <c r="F839" s="238">
        <v>38000</v>
      </c>
    </row>
    <row r="840" spans="1:7" s="5" customFormat="1" ht="23.25">
      <c r="B840" s="163" t="s">
        <v>1491</v>
      </c>
      <c r="C840" s="164" t="s">
        <v>1482</v>
      </c>
      <c r="D840" s="165">
        <v>57</v>
      </c>
      <c r="E840" s="235">
        <v>3500</v>
      </c>
      <c r="F840" s="238">
        <v>38000</v>
      </c>
    </row>
    <row r="841" spans="1:7" s="5" customFormat="1" ht="23.25">
      <c r="B841" s="163" t="s">
        <v>1408</v>
      </c>
      <c r="C841" s="164" t="s">
        <v>1482</v>
      </c>
      <c r="D841" s="165">
        <v>66</v>
      </c>
      <c r="E841" s="235">
        <v>3500</v>
      </c>
      <c r="F841" s="238">
        <v>38000</v>
      </c>
      <c r="G841" s="5" t="s">
        <v>1608</v>
      </c>
    </row>
    <row r="842" spans="1:7" s="5" customFormat="1" ht="23.25">
      <c r="B842" s="306" t="s">
        <v>1481</v>
      </c>
      <c r="C842" s="307"/>
      <c r="D842" s="165"/>
      <c r="E842" s="235"/>
      <c r="F842" s="159"/>
    </row>
    <row r="843" spans="1:7" s="5" customFormat="1" ht="23.25">
      <c r="B843" s="150" t="s">
        <v>984</v>
      </c>
      <c r="C843" s="151" t="s">
        <v>1192</v>
      </c>
      <c r="D843" s="152">
        <v>69</v>
      </c>
      <c r="E843" s="153">
        <v>2500</v>
      </c>
      <c r="F843" s="147"/>
    </row>
    <row r="844" spans="1:7" s="5" customFormat="1" ht="23.25">
      <c r="B844" s="150" t="s">
        <v>985</v>
      </c>
      <c r="C844" s="151" t="s">
        <v>1192</v>
      </c>
      <c r="D844" s="152">
        <v>19</v>
      </c>
      <c r="E844" s="153">
        <v>2500</v>
      </c>
      <c r="F844" s="147"/>
    </row>
    <row r="845" spans="1:7" ht="23.25">
      <c r="B845" s="150" t="s">
        <v>986</v>
      </c>
      <c r="C845" s="151" t="s">
        <v>1192</v>
      </c>
      <c r="D845" s="152">
        <v>5</v>
      </c>
      <c r="E845" s="153">
        <v>2500</v>
      </c>
      <c r="F845" s="147"/>
    </row>
    <row r="846" spans="1:7" ht="23.25">
      <c r="B846" s="150" t="s">
        <v>987</v>
      </c>
      <c r="C846" s="151" t="s">
        <v>1192</v>
      </c>
      <c r="D846" s="152">
        <v>19</v>
      </c>
      <c r="E846" s="153">
        <v>2500</v>
      </c>
      <c r="F846" s="147"/>
    </row>
    <row r="847" spans="1:7" ht="23.25">
      <c r="B847" s="150" t="s">
        <v>988</v>
      </c>
      <c r="C847" s="151" t="s">
        <v>1192</v>
      </c>
      <c r="D847" s="152">
        <v>36</v>
      </c>
      <c r="E847" s="153">
        <v>2500</v>
      </c>
      <c r="F847" s="147"/>
    </row>
    <row r="848" spans="1:7" ht="23.25">
      <c r="B848" s="150" t="s">
        <v>989</v>
      </c>
      <c r="C848" s="151" t="s">
        <v>1192</v>
      </c>
      <c r="D848" s="152">
        <v>38</v>
      </c>
      <c r="E848" s="153">
        <v>2500</v>
      </c>
      <c r="F848" s="147"/>
    </row>
    <row r="849" spans="2:6" ht="23.25">
      <c r="F849" s="147"/>
    </row>
    <row r="850" spans="2:6" ht="23.25">
      <c r="B850" s="297" t="s">
        <v>1250</v>
      </c>
      <c r="C850" s="298"/>
      <c r="D850" s="298"/>
      <c r="E850" s="299"/>
      <c r="F850" s="147"/>
    </row>
    <row r="851" spans="2:6" ht="23.25">
      <c r="B851" s="209" t="s">
        <v>1174</v>
      </c>
      <c r="C851" s="210"/>
      <c r="D851" s="211">
        <v>2</v>
      </c>
      <c r="E851" s="212"/>
      <c r="F851" s="147"/>
    </row>
    <row r="852" spans="2:6" ht="23.25">
      <c r="B852" s="297" t="s">
        <v>578</v>
      </c>
      <c r="C852" s="298"/>
      <c r="D852" s="298"/>
      <c r="E852" s="299"/>
      <c r="F852" s="159"/>
    </row>
    <row r="853" spans="2:6" ht="23.25">
      <c r="B853" s="213" t="s">
        <v>831</v>
      </c>
      <c r="C853" s="151" t="s">
        <v>1371</v>
      </c>
      <c r="D853" s="152">
        <v>1</v>
      </c>
      <c r="E853" s="175">
        <v>450000</v>
      </c>
      <c r="F853" s="154"/>
    </row>
    <row r="854" spans="2:6" ht="23.25">
      <c r="B854" s="213" t="s">
        <v>1372</v>
      </c>
      <c r="C854" s="151" t="s">
        <v>1374</v>
      </c>
      <c r="D854" s="152">
        <v>2</v>
      </c>
      <c r="E854" s="175">
        <v>200000</v>
      </c>
      <c r="F854" s="154"/>
    </row>
    <row r="855" spans="2:6" ht="23.25">
      <c r="B855" s="213" t="s">
        <v>1373</v>
      </c>
      <c r="C855" s="151" t="s">
        <v>1375</v>
      </c>
      <c r="D855" s="152">
        <v>4</v>
      </c>
      <c r="E855" s="175">
        <v>150000</v>
      </c>
      <c r="F855" s="154"/>
    </row>
    <row r="856" spans="2:6" ht="23.25">
      <c r="B856" s="213" t="s">
        <v>1373</v>
      </c>
      <c r="C856" s="151" t="s">
        <v>1376</v>
      </c>
      <c r="D856" s="152">
        <v>2</v>
      </c>
      <c r="E856" s="175">
        <v>120000</v>
      </c>
      <c r="F856" s="154"/>
    </row>
    <row r="857" spans="2:6" ht="23.25">
      <c r="B857" s="213" t="s">
        <v>1372</v>
      </c>
      <c r="C857" s="151" t="s">
        <v>1377</v>
      </c>
      <c r="D857" s="152">
        <v>2</v>
      </c>
      <c r="E857" s="175">
        <v>180000</v>
      </c>
      <c r="F857" s="154"/>
    </row>
    <row r="858" spans="2:6" ht="23.25">
      <c r="B858" s="300" t="s">
        <v>1411</v>
      </c>
      <c r="C858" s="301"/>
      <c r="D858" s="301"/>
      <c r="E858" s="302"/>
      <c r="F858" s="154"/>
    </row>
    <row r="859" spans="2:6" ht="23.25">
      <c r="B859" s="150" t="s">
        <v>1412</v>
      </c>
      <c r="C859" s="201" t="s">
        <v>1413</v>
      </c>
      <c r="D859" s="152">
        <v>3</v>
      </c>
      <c r="E859" s="173">
        <v>60000</v>
      </c>
      <c r="F859" s="154"/>
    </row>
    <row r="860" spans="2:6" ht="23.25">
      <c r="B860" s="150" t="s">
        <v>1421</v>
      </c>
      <c r="C860" s="201" t="s">
        <v>246</v>
      </c>
      <c r="D860" s="152">
        <v>6</v>
      </c>
      <c r="E860" s="173" t="s">
        <v>1422</v>
      </c>
      <c r="F860" s="154"/>
    </row>
    <row r="861" spans="2:6" ht="23.25">
      <c r="B861" s="150" t="s">
        <v>1414</v>
      </c>
      <c r="C861" s="150" t="s">
        <v>1415</v>
      </c>
      <c r="D861" s="152">
        <v>10</v>
      </c>
      <c r="E861" s="175">
        <v>10000</v>
      </c>
      <c r="F861" s="161">
        <v>50000</v>
      </c>
    </row>
    <row r="862" spans="2:6" ht="23.25">
      <c r="B862" s="150" t="s">
        <v>1416</v>
      </c>
      <c r="C862" s="150" t="s">
        <v>1417</v>
      </c>
      <c r="D862" s="152">
        <v>6</v>
      </c>
      <c r="E862" s="175">
        <v>10000</v>
      </c>
      <c r="F862" s="161">
        <v>70000</v>
      </c>
    </row>
    <row r="863" spans="2:6" ht="23.25">
      <c r="B863" s="150" t="s">
        <v>1418</v>
      </c>
      <c r="C863" s="150"/>
      <c r="D863" s="152">
        <v>2</v>
      </c>
      <c r="E863" s="175">
        <v>20000</v>
      </c>
      <c r="F863" s="161">
        <v>10000</v>
      </c>
    </row>
    <row r="864" spans="2:6" ht="23.25">
      <c r="B864" s="150" t="s">
        <v>1419</v>
      </c>
      <c r="C864" s="150"/>
      <c r="D864" s="152">
        <v>5</v>
      </c>
      <c r="E864" s="175">
        <v>20000</v>
      </c>
      <c r="F864" s="161"/>
    </row>
    <row r="865" spans="2:6" ht="23.25">
      <c r="B865" s="150" t="s">
        <v>1420</v>
      </c>
      <c r="C865" s="150"/>
      <c r="D865" s="152">
        <v>3</v>
      </c>
      <c r="E865" s="175">
        <v>15000</v>
      </c>
      <c r="F865" s="154"/>
    </row>
    <row r="866" spans="2:6" ht="23.25">
      <c r="B866" s="150" t="s">
        <v>1423</v>
      </c>
      <c r="C866" s="150"/>
      <c r="D866" s="152">
        <v>24</v>
      </c>
      <c r="E866" s="175">
        <v>10000</v>
      </c>
      <c r="F866" s="154"/>
    </row>
    <row r="867" spans="2:6" ht="23.25">
      <c r="B867" s="297" t="s">
        <v>642</v>
      </c>
      <c r="C867" s="298"/>
      <c r="D867" s="298"/>
      <c r="E867" s="299"/>
      <c r="F867" s="147"/>
    </row>
    <row r="868" spans="2:6" ht="23.25">
      <c r="B868" s="150" t="s">
        <v>1020</v>
      </c>
      <c r="C868" s="151" t="s">
        <v>562</v>
      </c>
      <c r="D868" s="152">
        <v>8</v>
      </c>
      <c r="E868" s="153">
        <v>2000</v>
      </c>
      <c r="F868" s="154"/>
    </row>
    <row r="869" spans="2:6" ht="23.25">
      <c r="B869" s="150" t="s">
        <v>284</v>
      </c>
      <c r="C869" s="151" t="s">
        <v>565</v>
      </c>
      <c r="D869" s="152">
        <v>12</v>
      </c>
      <c r="E869" s="153">
        <v>2000</v>
      </c>
      <c r="F869" s="155">
        <v>14000</v>
      </c>
    </row>
    <row r="870" spans="2:6" ht="23.25">
      <c r="B870" s="150" t="s">
        <v>747</v>
      </c>
      <c r="C870" s="151" t="s">
        <v>748</v>
      </c>
      <c r="D870" s="152">
        <v>119</v>
      </c>
      <c r="E870" s="153">
        <v>3000</v>
      </c>
      <c r="F870" s="155">
        <v>11400</v>
      </c>
    </row>
    <row r="871" spans="2:6" ht="23.25">
      <c r="B871" s="150" t="s">
        <v>285</v>
      </c>
      <c r="C871" s="151" t="s">
        <v>566</v>
      </c>
      <c r="D871" s="152">
        <v>40</v>
      </c>
      <c r="E871" s="153">
        <v>2000</v>
      </c>
      <c r="F871" s="154"/>
    </row>
    <row r="872" spans="2:6" ht="23.25">
      <c r="B872" s="150" t="s">
        <v>556</v>
      </c>
      <c r="C872" s="151" t="s">
        <v>695</v>
      </c>
      <c r="D872" s="152">
        <v>6</v>
      </c>
      <c r="E872" s="153">
        <v>2000</v>
      </c>
      <c r="F872" s="154"/>
    </row>
    <row r="873" spans="2:6" ht="23.25">
      <c r="B873" s="150" t="s">
        <v>561</v>
      </c>
      <c r="C873" s="151" t="s">
        <v>563</v>
      </c>
      <c r="D873" s="152">
        <v>9</v>
      </c>
      <c r="E873" s="153">
        <v>2000</v>
      </c>
      <c r="F873" s="154"/>
    </row>
    <row r="874" spans="2:6" ht="23.25">
      <c r="B874" s="150" t="s">
        <v>1013</v>
      </c>
      <c r="C874" s="151" t="s">
        <v>564</v>
      </c>
      <c r="D874" s="152">
        <v>20</v>
      </c>
      <c r="E874" s="153">
        <v>2000</v>
      </c>
      <c r="F874" s="178">
        <v>17000</v>
      </c>
    </row>
    <row r="875" spans="2:6" ht="23.25">
      <c r="B875" s="213" t="s">
        <v>1015</v>
      </c>
      <c r="C875" s="151" t="s">
        <v>1014</v>
      </c>
      <c r="D875" s="152">
        <v>26</v>
      </c>
      <c r="E875" s="153">
        <v>3000</v>
      </c>
      <c r="F875" s="154"/>
    </row>
    <row r="876" spans="2:6" ht="23.25">
      <c r="B876" s="150" t="s">
        <v>768</v>
      </c>
      <c r="C876" s="151" t="s">
        <v>769</v>
      </c>
      <c r="D876" s="152">
        <v>23</v>
      </c>
      <c r="E876" s="153">
        <v>3000</v>
      </c>
      <c r="F876" s="154">
        <v>25000</v>
      </c>
    </row>
    <row r="877" spans="2:6" ht="23.25">
      <c r="B877" s="150" t="s">
        <v>768</v>
      </c>
      <c r="C877" s="151" t="s">
        <v>770</v>
      </c>
      <c r="D877" s="152">
        <v>20</v>
      </c>
      <c r="E877" s="153">
        <v>3000</v>
      </c>
      <c r="F877" s="154">
        <v>25000</v>
      </c>
    </row>
    <row r="878" spans="2:6" ht="23.25">
      <c r="B878" s="150" t="s">
        <v>771</v>
      </c>
      <c r="C878" s="151" t="s">
        <v>1033</v>
      </c>
      <c r="D878" s="152">
        <v>17</v>
      </c>
      <c r="E878" s="153">
        <v>3000</v>
      </c>
      <c r="F878" s="154">
        <v>20000</v>
      </c>
    </row>
    <row r="879" spans="2:6" ht="23.25">
      <c r="B879" s="150" t="s">
        <v>772</v>
      </c>
      <c r="C879" s="151" t="s">
        <v>1035</v>
      </c>
      <c r="D879" s="152">
        <v>14</v>
      </c>
      <c r="E879" s="153">
        <v>3000</v>
      </c>
      <c r="F879" s="154">
        <v>20000</v>
      </c>
    </row>
    <row r="880" spans="2:6" ht="23.25">
      <c r="B880" s="150" t="s">
        <v>773</v>
      </c>
      <c r="C880" s="151" t="s">
        <v>1034</v>
      </c>
      <c r="D880" s="152">
        <v>14</v>
      </c>
      <c r="E880" s="153">
        <v>3000</v>
      </c>
      <c r="F880" s="154">
        <v>25000</v>
      </c>
    </row>
    <row r="881" spans="1:7" ht="23.25">
      <c r="B881" s="150" t="s">
        <v>774</v>
      </c>
      <c r="C881" s="151" t="s">
        <v>1036</v>
      </c>
      <c r="D881" s="152">
        <v>6</v>
      </c>
      <c r="E881" s="153">
        <v>3000</v>
      </c>
      <c r="F881" s="154">
        <v>20000</v>
      </c>
    </row>
    <row r="882" spans="1:7" ht="23.25">
      <c r="B882" s="150" t="s">
        <v>775</v>
      </c>
      <c r="C882" s="151" t="s">
        <v>1037</v>
      </c>
      <c r="D882" s="152">
        <v>15</v>
      </c>
      <c r="E882" s="153">
        <v>3000</v>
      </c>
      <c r="F882" s="154">
        <v>20000</v>
      </c>
    </row>
    <row r="883" spans="1:7" ht="23.25">
      <c r="B883" s="150" t="s">
        <v>776</v>
      </c>
      <c r="C883" s="151" t="s">
        <v>1038</v>
      </c>
      <c r="D883" s="152">
        <v>14</v>
      </c>
      <c r="E883" s="153">
        <v>3000</v>
      </c>
      <c r="F883" s="154">
        <v>20000</v>
      </c>
    </row>
    <row r="884" spans="1:7" ht="23.25">
      <c r="A884" s="115"/>
      <c r="B884" s="150" t="s">
        <v>1016</v>
      </c>
      <c r="C884" s="151" t="s">
        <v>777</v>
      </c>
      <c r="D884" s="152">
        <v>70</v>
      </c>
      <c r="E884" s="153">
        <v>2000</v>
      </c>
      <c r="F884" s="154" t="s">
        <v>1017</v>
      </c>
    </row>
    <row r="885" spans="1:7" ht="23.25">
      <c r="B885" s="150" t="s">
        <v>1018</v>
      </c>
      <c r="C885" s="151" t="s">
        <v>1019</v>
      </c>
      <c r="D885" s="152">
        <v>75</v>
      </c>
      <c r="E885" s="153">
        <v>2000</v>
      </c>
      <c r="F885" s="154" t="s">
        <v>1039</v>
      </c>
      <c r="G885" t="s">
        <v>1507</v>
      </c>
    </row>
    <row r="886" spans="1:7" ht="23.25">
      <c r="B886" s="308" t="s">
        <v>287</v>
      </c>
      <c r="C886" s="308"/>
      <c r="D886" s="308"/>
      <c r="E886" s="308"/>
      <c r="F886" s="154"/>
    </row>
    <row r="887" spans="1:7" ht="23.25">
      <c r="B887" s="150" t="s">
        <v>551</v>
      </c>
      <c r="C887" s="151" t="s">
        <v>173</v>
      </c>
      <c r="D887" s="152">
        <v>8</v>
      </c>
      <c r="E887" s="153">
        <v>3000</v>
      </c>
      <c r="F887" s="154"/>
    </row>
    <row r="888" spans="1:7" ht="23.25">
      <c r="B888" s="150" t="s">
        <v>957</v>
      </c>
      <c r="C888" s="151" t="s">
        <v>958</v>
      </c>
      <c r="D888" s="152">
        <v>73</v>
      </c>
      <c r="E888" s="153">
        <v>3000</v>
      </c>
      <c r="F888" s="154"/>
    </row>
    <row r="889" spans="1:7" ht="23.25">
      <c r="B889" s="150" t="s">
        <v>542</v>
      </c>
      <c r="C889" s="151" t="s">
        <v>954</v>
      </c>
      <c r="D889" s="152">
        <v>105</v>
      </c>
      <c r="E889" s="175">
        <v>3000</v>
      </c>
      <c r="F889" s="154"/>
    </row>
    <row r="890" spans="1:7" ht="23.25">
      <c r="B890" s="150" t="s">
        <v>542</v>
      </c>
      <c r="C890" s="151" t="s">
        <v>541</v>
      </c>
      <c r="D890" s="152">
        <v>102</v>
      </c>
      <c r="E890" s="175">
        <v>3000</v>
      </c>
      <c r="F890" s="154"/>
    </row>
    <row r="891" spans="1:7" ht="23.25">
      <c r="B891" s="150" t="s">
        <v>542</v>
      </c>
      <c r="C891" s="151" t="s">
        <v>174</v>
      </c>
      <c r="D891" s="152">
        <v>100</v>
      </c>
      <c r="E891" s="175">
        <v>3000</v>
      </c>
      <c r="F891" s="154"/>
    </row>
    <row r="892" spans="1:7" ht="23.25">
      <c r="B892" s="150" t="s">
        <v>542</v>
      </c>
      <c r="C892" s="151" t="s">
        <v>456</v>
      </c>
      <c r="D892" s="152">
        <v>104</v>
      </c>
      <c r="E892" s="175">
        <v>3000</v>
      </c>
      <c r="F892" s="154"/>
    </row>
    <row r="893" spans="1:7" ht="23.25">
      <c r="B893" s="150" t="s">
        <v>542</v>
      </c>
      <c r="C893" s="151" t="s">
        <v>956</v>
      </c>
      <c r="D893" s="152">
        <v>90</v>
      </c>
      <c r="E893" s="175">
        <v>3000</v>
      </c>
      <c r="F893" s="154"/>
    </row>
    <row r="894" spans="1:7" ht="23.25">
      <c r="B894" s="150" t="s">
        <v>542</v>
      </c>
      <c r="C894" s="151" t="s">
        <v>543</v>
      </c>
      <c r="D894" s="152">
        <v>104</v>
      </c>
      <c r="E894" s="175">
        <v>3000</v>
      </c>
      <c r="F894" s="154"/>
    </row>
    <row r="895" spans="1:7" ht="23.25">
      <c r="A895" s="115"/>
      <c r="B895" s="150" t="s">
        <v>542</v>
      </c>
      <c r="C895" s="151" t="s">
        <v>13</v>
      </c>
      <c r="D895" s="152">
        <v>69</v>
      </c>
      <c r="E895" s="175">
        <v>3000</v>
      </c>
      <c r="F895" s="154" t="s">
        <v>524</v>
      </c>
      <c r="G895" t="s">
        <v>1610</v>
      </c>
    </row>
    <row r="896" spans="1:7" ht="23.25">
      <c r="B896" s="150" t="s">
        <v>542</v>
      </c>
      <c r="C896" s="151" t="s">
        <v>544</v>
      </c>
      <c r="D896" s="152">
        <v>104</v>
      </c>
      <c r="E896" s="175">
        <v>3000</v>
      </c>
      <c r="F896" s="154"/>
    </row>
    <row r="897" spans="1:6" ht="23.25">
      <c r="A897" s="115"/>
      <c r="B897" s="150" t="s">
        <v>542</v>
      </c>
      <c r="C897" s="151" t="s">
        <v>546</v>
      </c>
      <c r="D897" s="152">
        <v>105</v>
      </c>
      <c r="E897" s="175">
        <v>3000</v>
      </c>
      <c r="F897" s="154" t="s">
        <v>961</v>
      </c>
    </row>
    <row r="898" spans="1:6" ht="23.25">
      <c r="A898" s="115"/>
      <c r="B898" s="150" t="s">
        <v>542</v>
      </c>
      <c r="C898" s="151" t="s">
        <v>547</v>
      </c>
      <c r="D898" s="152">
        <v>77</v>
      </c>
      <c r="E898" s="153">
        <v>2000</v>
      </c>
      <c r="F898" s="154" t="s">
        <v>955</v>
      </c>
    </row>
    <row r="899" spans="1:6" ht="23.25">
      <c r="B899" s="150" t="s">
        <v>542</v>
      </c>
      <c r="C899" s="151" t="s">
        <v>545</v>
      </c>
      <c r="D899" s="152">
        <v>103</v>
      </c>
      <c r="E899" s="153">
        <v>3000</v>
      </c>
      <c r="F899" s="154"/>
    </row>
    <row r="900" spans="1:6" ht="23.25">
      <c r="B900" s="150" t="s">
        <v>959</v>
      </c>
      <c r="C900" s="151" t="s">
        <v>546</v>
      </c>
      <c r="D900" s="152">
        <v>12</v>
      </c>
      <c r="E900" s="153">
        <v>3000</v>
      </c>
      <c r="F900" s="154"/>
    </row>
    <row r="901" spans="1:6" ht="23.25">
      <c r="B901" s="150" t="s">
        <v>286</v>
      </c>
      <c r="C901" s="151" t="s">
        <v>26</v>
      </c>
      <c r="D901" s="152">
        <v>6</v>
      </c>
      <c r="E901" s="153">
        <v>2000</v>
      </c>
      <c r="F901" s="154"/>
    </row>
    <row r="902" spans="1:6" ht="23.25">
      <c r="B902" s="150" t="s">
        <v>286</v>
      </c>
      <c r="C902" s="151" t="s">
        <v>457</v>
      </c>
      <c r="D902" s="152">
        <v>6</v>
      </c>
      <c r="E902" s="153">
        <v>2000</v>
      </c>
      <c r="F902" s="154"/>
    </row>
    <row r="903" spans="1:6" ht="23.25">
      <c r="B903" s="150" t="s">
        <v>286</v>
      </c>
      <c r="C903" s="151" t="s">
        <v>164</v>
      </c>
      <c r="D903" s="152">
        <v>6</v>
      </c>
      <c r="E903" s="153">
        <v>2000</v>
      </c>
      <c r="F903" s="154"/>
    </row>
    <row r="904" spans="1:6" ht="23.25">
      <c r="A904" s="115"/>
      <c r="B904" s="150" t="s">
        <v>286</v>
      </c>
      <c r="C904" s="151" t="s">
        <v>549</v>
      </c>
      <c r="D904" s="152">
        <v>6</v>
      </c>
      <c r="E904" s="153">
        <v>2000</v>
      </c>
      <c r="F904" s="154" t="s">
        <v>960</v>
      </c>
    </row>
    <row r="905" spans="1:6" ht="23.25">
      <c r="B905" s="150" t="s">
        <v>286</v>
      </c>
      <c r="C905" s="151" t="s">
        <v>548</v>
      </c>
      <c r="D905" s="152">
        <v>6</v>
      </c>
      <c r="E905" s="153">
        <v>2000</v>
      </c>
      <c r="F905" s="154"/>
    </row>
    <row r="906" spans="1:6" ht="23.25">
      <c r="B906" s="150" t="s">
        <v>286</v>
      </c>
      <c r="C906" s="151" t="s">
        <v>550</v>
      </c>
      <c r="D906" s="152">
        <v>15</v>
      </c>
      <c r="E906" s="153">
        <v>2000</v>
      </c>
      <c r="F906" s="154"/>
    </row>
    <row r="907" spans="1:6" ht="23.25">
      <c r="B907" s="297" t="s">
        <v>1253</v>
      </c>
      <c r="C907" s="298"/>
      <c r="D907" s="298"/>
      <c r="E907" s="299"/>
      <c r="F907" s="154"/>
    </row>
    <row r="908" spans="1:6" ht="23.25">
      <c r="B908" s="150" t="s">
        <v>739</v>
      </c>
      <c r="C908" s="151" t="s">
        <v>740</v>
      </c>
      <c r="D908" s="152">
        <v>55</v>
      </c>
      <c r="E908" s="153">
        <v>3500</v>
      </c>
      <c r="F908" s="178">
        <v>30000</v>
      </c>
    </row>
    <row r="909" spans="1:6" ht="23.25">
      <c r="B909" s="150" t="s">
        <v>1195</v>
      </c>
      <c r="C909" s="151" t="s">
        <v>1193</v>
      </c>
      <c r="D909" s="152">
        <v>20</v>
      </c>
      <c r="E909" s="153">
        <v>2000</v>
      </c>
      <c r="F909" s="178"/>
    </row>
    <row r="910" spans="1:6" ht="23.25">
      <c r="B910" s="150" t="s">
        <v>1196</v>
      </c>
      <c r="C910" s="151" t="s">
        <v>1199</v>
      </c>
      <c r="D910" s="152">
        <v>12</v>
      </c>
      <c r="E910" s="153">
        <v>2000</v>
      </c>
      <c r="F910" s="178"/>
    </row>
    <row r="911" spans="1:6" ht="23.25">
      <c r="B911" s="297" t="s">
        <v>643</v>
      </c>
      <c r="C911" s="298"/>
      <c r="D911" s="298"/>
      <c r="E911" s="299"/>
      <c r="F911" s="159"/>
    </row>
    <row r="912" spans="1:6" ht="23.25">
      <c r="B912" s="150" t="s">
        <v>63</v>
      </c>
      <c r="C912" s="151"/>
      <c r="D912" s="152">
        <v>2</v>
      </c>
      <c r="E912" s="157">
        <v>25000</v>
      </c>
      <c r="F912" s="137"/>
    </row>
    <row r="913" spans="1:7" ht="23.25">
      <c r="B913" s="150" t="s">
        <v>64</v>
      </c>
      <c r="C913" s="151"/>
      <c r="D913" s="152">
        <v>2</v>
      </c>
      <c r="E913" s="157">
        <v>25000</v>
      </c>
      <c r="F913" s="137"/>
    </row>
    <row r="914" spans="1:7" ht="23.25">
      <c r="B914" s="150" t="s">
        <v>65</v>
      </c>
      <c r="C914" s="151"/>
      <c r="D914" s="152">
        <v>2</v>
      </c>
      <c r="E914" s="157">
        <v>25000</v>
      </c>
      <c r="F914" s="137"/>
    </row>
    <row r="915" spans="1:7" ht="23.25">
      <c r="B915" s="214" t="s">
        <v>1215</v>
      </c>
      <c r="C915" s="151"/>
      <c r="D915" s="152">
        <v>12</v>
      </c>
      <c r="E915" s="157">
        <v>2000</v>
      </c>
      <c r="F915" s="137"/>
    </row>
    <row r="916" spans="1:7" ht="23.25">
      <c r="B916" s="317" t="s">
        <v>1175</v>
      </c>
      <c r="C916" s="318"/>
      <c r="D916" s="318"/>
      <c r="E916" s="319"/>
      <c r="F916" s="154"/>
    </row>
    <row r="917" spans="1:7" ht="23.25">
      <c r="B917" s="150" t="s">
        <v>243</v>
      </c>
      <c r="C917" s="151" t="s">
        <v>244</v>
      </c>
      <c r="D917" s="152">
        <v>30</v>
      </c>
      <c r="E917" s="153">
        <v>25000</v>
      </c>
      <c r="F917" s="154"/>
    </row>
    <row r="918" spans="1:7" ht="23.25">
      <c r="B918" s="150" t="s">
        <v>245</v>
      </c>
      <c r="C918" s="151" t="s">
        <v>246</v>
      </c>
      <c r="D918" s="152">
        <v>30</v>
      </c>
      <c r="E918" s="153">
        <v>25000</v>
      </c>
      <c r="F918" s="154"/>
    </row>
    <row r="919" spans="1:7" ht="23.25">
      <c r="B919" s="297" t="s">
        <v>636</v>
      </c>
      <c r="C919" s="298"/>
      <c r="D919" s="298"/>
      <c r="E919" s="299"/>
      <c r="F919" s="147"/>
    </row>
    <row r="920" spans="1:7" ht="23.25">
      <c r="A920" s="116" t="s">
        <v>1498</v>
      </c>
      <c r="B920" s="184" t="s">
        <v>877</v>
      </c>
      <c r="C920" s="185" t="s">
        <v>878</v>
      </c>
      <c r="D920" s="215">
        <v>658</v>
      </c>
      <c r="E920" s="148">
        <v>1000</v>
      </c>
      <c r="F920" s="188"/>
      <c r="G920" t="s">
        <v>1604</v>
      </c>
    </row>
    <row r="921" spans="1:7" ht="23.25">
      <c r="A921" s="116"/>
      <c r="B921" s="150" t="s">
        <v>876</v>
      </c>
      <c r="C921" s="151"/>
      <c r="D921" s="152">
        <v>23</v>
      </c>
      <c r="E921" s="153">
        <v>15000</v>
      </c>
      <c r="F921" s="154" t="s">
        <v>1061</v>
      </c>
    </row>
    <row r="922" spans="1:7" ht="23.25">
      <c r="A922" s="91"/>
      <c r="B922" s="150" t="s">
        <v>1502</v>
      </c>
      <c r="C922" s="151" t="s">
        <v>249</v>
      </c>
      <c r="D922" s="152">
        <v>24</v>
      </c>
      <c r="E922" s="153">
        <v>12000</v>
      </c>
      <c r="F922" s="154"/>
    </row>
    <row r="923" spans="1:7" ht="23.25">
      <c r="A923" s="91"/>
      <c r="B923" s="150" t="s">
        <v>1503</v>
      </c>
      <c r="C923" s="151" t="s">
        <v>1504</v>
      </c>
      <c r="D923" s="152">
        <v>20</v>
      </c>
      <c r="E923" s="153"/>
      <c r="F923" s="154"/>
    </row>
    <row r="924" spans="1:7" ht="23.25">
      <c r="A924" s="91"/>
      <c r="B924" s="150" t="s">
        <v>1188</v>
      </c>
      <c r="C924" s="151" t="s">
        <v>1189</v>
      </c>
      <c r="D924" s="152">
        <v>2</v>
      </c>
      <c r="E924" s="153">
        <v>12000</v>
      </c>
      <c r="F924" s="154"/>
    </row>
    <row r="925" spans="1:7" ht="23.25">
      <c r="A925" s="91"/>
      <c r="B925" s="150" t="s">
        <v>1510</v>
      </c>
      <c r="C925" s="151" t="s">
        <v>1190</v>
      </c>
      <c r="D925" s="152">
        <v>107</v>
      </c>
      <c r="E925" s="153">
        <v>10000</v>
      </c>
      <c r="F925" s="161">
        <v>150000</v>
      </c>
    </row>
    <row r="926" spans="1:7" ht="23.25">
      <c r="A926" s="114"/>
      <c r="B926" s="150" t="s">
        <v>854</v>
      </c>
      <c r="C926" s="151" t="s">
        <v>1073</v>
      </c>
      <c r="D926" s="152">
        <v>100</v>
      </c>
      <c r="E926" s="153">
        <v>4000</v>
      </c>
      <c r="F926" s="216" t="s">
        <v>1074</v>
      </c>
    </row>
    <row r="927" spans="1:7" ht="23.25">
      <c r="A927" s="91"/>
      <c r="B927" s="150" t="s">
        <v>358</v>
      </c>
      <c r="C927" s="151" t="s">
        <v>455</v>
      </c>
      <c r="D927" s="152">
        <v>49</v>
      </c>
      <c r="E927" s="153">
        <v>7000</v>
      </c>
      <c r="F927" s="216" t="s">
        <v>370</v>
      </c>
    </row>
    <row r="928" spans="1:7" ht="23.25">
      <c r="A928" s="91"/>
      <c r="B928" s="150" t="s">
        <v>358</v>
      </c>
      <c r="C928" s="151" t="s">
        <v>456</v>
      </c>
      <c r="D928" s="152">
        <v>50</v>
      </c>
      <c r="E928" s="153">
        <v>7000</v>
      </c>
      <c r="F928" s="216"/>
    </row>
    <row r="929" spans="1:7" ht="23.25">
      <c r="A929" s="91"/>
      <c r="B929" s="150" t="s">
        <v>358</v>
      </c>
      <c r="C929" s="151" t="s">
        <v>680</v>
      </c>
      <c r="D929" s="152">
        <v>202</v>
      </c>
      <c r="E929" s="153">
        <v>7000</v>
      </c>
      <c r="F929" s="154"/>
    </row>
    <row r="930" spans="1:7" ht="23.25">
      <c r="A930" s="114" t="s">
        <v>1075</v>
      </c>
      <c r="B930" s="150" t="s">
        <v>856</v>
      </c>
      <c r="C930" s="151" t="s">
        <v>855</v>
      </c>
      <c r="D930" s="152">
        <v>2</v>
      </c>
      <c r="E930" s="153">
        <v>80000</v>
      </c>
      <c r="F930" s="154"/>
    </row>
    <row r="931" spans="1:7" ht="23.25">
      <c r="A931" s="91"/>
      <c r="B931" s="150" t="s">
        <v>632</v>
      </c>
      <c r="C931" s="151" t="s">
        <v>229</v>
      </c>
      <c r="D931" s="152">
        <v>18</v>
      </c>
      <c r="E931" s="153">
        <v>7000</v>
      </c>
      <c r="F931" s="188"/>
    </row>
    <row r="932" spans="1:7" ht="23.25">
      <c r="A932" s="91"/>
      <c r="B932" s="150" t="s">
        <v>153</v>
      </c>
      <c r="C932" s="151" t="s">
        <v>706</v>
      </c>
      <c r="D932" s="152">
        <v>20</v>
      </c>
      <c r="E932" s="153">
        <v>2500</v>
      </c>
      <c r="F932" s="188"/>
    </row>
    <row r="933" spans="1:7" ht="23.25">
      <c r="A933" s="91"/>
      <c r="B933" s="150" t="s">
        <v>152</v>
      </c>
      <c r="C933" s="151" t="s">
        <v>705</v>
      </c>
      <c r="D933" s="152">
        <v>21</v>
      </c>
      <c r="E933" s="153">
        <v>2500</v>
      </c>
      <c r="F933" s="188"/>
    </row>
    <row r="934" spans="1:7" ht="23.25">
      <c r="B934" s="150" t="s">
        <v>227</v>
      </c>
      <c r="C934" s="151" t="s">
        <v>229</v>
      </c>
      <c r="D934" s="152">
        <v>20</v>
      </c>
      <c r="E934" s="153">
        <v>2000</v>
      </c>
      <c r="F934" s="154"/>
    </row>
    <row r="935" spans="1:7" ht="23.25">
      <c r="B935" s="150" t="s">
        <v>228</v>
      </c>
      <c r="C935" s="151" t="s">
        <v>229</v>
      </c>
      <c r="D935" s="152">
        <v>20</v>
      </c>
      <c r="E935" s="153">
        <v>2000</v>
      </c>
      <c r="F935" s="154"/>
    </row>
    <row r="936" spans="1:7" ht="23.25">
      <c r="B936" s="150" t="s">
        <v>758</v>
      </c>
      <c r="C936" s="151" t="s">
        <v>100</v>
      </c>
      <c r="D936" s="152">
        <v>16</v>
      </c>
      <c r="E936" s="153">
        <v>1500</v>
      </c>
      <c r="F936" s="154" t="s">
        <v>1076</v>
      </c>
    </row>
    <row r="937" spans="1:7" ht="23.25">
      <c r="B937" s="150" t="s">
        <v>232</v>
      </c>
      <c r="C937" s="151" t="s">
        <v>100</v>
      </c>
      <c r="D937" s="152">
        <v>22</v>
      </c>
      <c r="E937" s="153">
        <v>1500</v>
      </c>
      <c r="F937" s="154"/>
    </row>
    <row r="938" spans="1:7" ht="23.25">
      <c r="B938" s="150" t="s">
        <v>230</v>
      </c>
      <c r="C938" s="151" t="s">
        <v>100</v>
      </c>
      <c r="D938" s="152">
        <v>10</v>
      </c>
      <c r="E938" s="153">
        <v>1500</v>
      </c>
      <c r="F938" s="154"/>
    </row>
    <row r="939" spans="1:7" ht="23.25">
      <c r="B939" s="150" t="s">
        <v>231</v>
      </c>
      <c r="C939" s="151" t="s">
        <v>100</v>
      </c>
      <c r="D939" s="152">
        <v>29</v>
      </c>
      <c r="E939" s="153">
        <v>1500</v>
      </c>
      <c r="F939" s="154"/>
    </row>
    <row r="940" spans="1:7" ht="23.25">
      <c r="B940" s="150" t="s">
        <v>233</v>
      </c>
      <c r="C940" s="151" t="s">
        <v>100</v>
      </c>
      <c r="D940" s="152">
        <v>28</v>
      </c>
      <c r="E940" s="153">
        <v>1500</v>
      </c>
      <c r="F940" s="154"/>
    </row>
    <row r="941" spans="1:7" ht="23.25">
      <c r="B941" s="150" t="s">
        <v>759</v>
      </c>
      <c r="C941" s="151" t="s">
        <v>100</v>
      </c>
      <c r="D941" s="152">
        <v>22</v>
      </c>
      <c r="E941" s="153">
        <v>1500</v>
      </c>
      <c r="F941" s="154"/>
    </row>
    <row r="942" spans="1:7" ht="23.25">
      <c r="B942" s="150" t="s">
        <v>760</v>
      </c>
      <c r="C942" s="151" t="s">
        <v>100</v>
      </c>
      <c r="D942" s="152">
        <v>13</v>
      </c>
      <c r="E942" s="153">
        <v>1500</v>
      </c>
      <c r="F942" s="154"/>
    </row>
    <row r="943" spans="1:7" ht="23.25">
      <c r="B943" s="150" t="s">
        <v>234</v>
      </c>
      <c r="C943" s="151" t="s">
        <v>100</v>
      </c>
      <c r="D943" s="152">
        <v>30</v>
      </c>
      <c r="E943" s="153">
        <v>1500</v>
      </c>
      <c r="F943" s="154"/>
    </row>
    <row r="944" spans="1:7" ht="23.25">
      <c r="A944" s="115" t="s">
        <v>1508</v>
      </c>
      <c r="B944" s="150" t="s">
        <v>857</v>
      </c>
      <c r="C944" s="151" t="s">
        <v>1184</v>
      </c>
      <c r="D944" s="179">
        <v>206</v>
      </c>
      <c r="E944" s="153">
        <v>5000</v>
      </c>
      <c r="F944" s="154" t="s">
        <v>887</v>
      </c>
      <c r="G944" t="s">
        <v>1612</v>
      </c>
    </row>
    <row r="945" spans="1:6" ht="23.25">
      <c r="A945" s="115"/>
      <c r="B945" s="150" t="s">
        <v>857</v>
      </c>
      <c r="C945" s="151" t="s">
        <v>1185</v>
      </c>
      <c r="D945" s="152"/>
      <c r="E945" s="153">
        <v>4000</v>
      </c>
      <c r="F945" s="154"/>
    </row>
    <row r="946" spans="1:6" ht="23.25">
      <c r="B946" s="297" t="s">
        <v>1263</v>
      </c>
      <c r="C946" s="298"/>
      <c r="D946" s="298"/>
      <c r="E946" s="299"/>
      <c r="F946" s="147"/>
    </row>
    <row r="947" spans="1:6" ht="23.25">
      <c r="B947" s="150" t="s">
        <v>102</v>
      </c>
      <c r="C947" s="151"/>
      <c r="D947" s="152">
        <v>2</v>
      </c>
      <c r="E947" s="153">
        <v>35000</v>
      </c>
      <c r="F947" s="154"/>
    </row>
    <row r="948" spans="1:6" ht="23.25">
      <c r="B948" s="150" t="s">
        <v>103</v>
      </c>
      <c r="C948" s="151"/>
      <c r="D948" s="152" t="s">
        <v>206</v>
      </c>
      <c r="E948" s="153">
        <v>70000</v>
      </c>
      <c r="F948" s="154"/>
    </row>
    <row r="949" spans="1:6" ht="23.25">
      <c r="B949" s="150" t="s">
        <v>104</v>
      </c>
      <c r="C949" s="151"/>
      <c r="D949" s="152" t="s">
        <v>206</v>
      </c>
      <c r="E949" s="153">
        <v>800000</v>
      </c>
      <c r="F949" s="154"/>
    </row>
    <row r="950" spans="1:6" ht="23.25">
      <c r="B950" s="150" t="s">
        <v>214</v>
      </c>
      <c r="C950" s="151"/>
      <c r="D950" s="152" t="s">
        <v>206</v>
      </c>
      <c r="E950" s="153">
        <v>1000000</v>
      </c>
      <c r="F950" s="154"/>
    </row>
    <row r="951" spans="1:6" ht="23.25">
      <c r="B951" s="150" t="s">
        <v>212</v>
      </c>
      <c r="C951" s="151"/>
      <c r="D951" s="152">
        <v>2</v>
      </c>
      <c r="E951" s="155" t="s">
        <v>205</v>
      </c>
      <c r="F951" s="154"/>
    </row>
    <row r="952" spans="1:6" ht="23.25">
      <c r="B952" s="150" t="s">
        <v>105</v>
      </c>
      <c r="C952" s="151"/>
      <c r="D952" s="152">
        <v>4</v>
      </c>
      <c r="E952" s="155" t="s">
        <v>205</v>
      </c>
      <c r="F952" s="154"/>
    </row>
    <row r="953" spans="1:6" ht="23.25">
      <c r="B953" s="150" t="s">
        <v>107</v>
      </c>
      <c r="C953" s="151"/>
      <c r="D953" s="152">
        <v>2</v>
      </c>
      <c r="E953" s="155" t="s">
        <v>205</v>
      </c>
      <c r="F953" s="154"/>
    </row>
    <row r="954" spans="1:6" ht="23.25">
      <c r="B954" s="150" t="s">
        <v>627</v>
      </c>
      <c r="C954" s="151" t="s">
        <v>626</v>
      </c>
      <c r="D954" s="152">
        <v>4</v>
      </c>
      <c r="E954" s="175">
        <v>226100</v>
      </c>
      <c r="F954" s="154"/>
    </row>
    <row r="955" spans="1:6" ht="23.25">
      <c r="B955" s="150" t="s">
        <v>628</v>
      </c>
      <c r="C955" s="151"/>
      <c r="D955" s="152">
        <v>2</v>
      </c>
      <c r="E955" s="175">
        <v>416500</v>
      </c>
      <c r="F955" s="154"/>
    </row>
    <row r="956" spans="1:6" ht="23.25">
      <c r="B956" s="150" t="s">
        <v>629</v>
      </c>
      <c r="C956" s="151"/>
      <c r="D956" s="152">
        <v>1</v>
      </c>
      <c r="E956" s="175">
        <v>333200</v>
      </c>
      <c r="F956" s="154"/>
    </row>
    <row r="957" spans="1:6" ht="23.25">
      <c r="B957" s="150" t="s">
        <v>630</v>
      </c>
      <c r="C957" s="151"/>
      <c r="D957" s="152">
        <v>1</v>
      </c>
      <c r="E957" s="175">
        <v>416500</v>
      </c>
      <c r="F957" s="154"/>
    </row>
    <row r="958" spans="1:6" ht="23.25">
      <c r="B958" s="150" t="s">
        <v>631</v>
      </c>
      <c r="C958" s="151"/>
      <c r="D958" s="152">
        <v>1</v>
      </c>
      <c r="E958" s="175">
        <v>416500</v>
      </c>
      <c r="F958" s="154"/>
    </row>
    <row r="959" spans="1:6" ht="23.25">
      <c r="A959" s="5" t="s">
        <v>918</v>
      </c>
      <c r="B959" s="217" t="s">
        <v>693</v>
      </c>
      <c r="C959" s="218"/>
      <c r="D959" s="219">
        <v>4</v>
      </c>
      <c r="E959" s="220">
        <v>320000</v>
      </c>
      <c r="F959" s="221" t="s">
        <v>880</v>
      </c>
    </row>
    <row r="960" spans="1:6" ht="23.25">
      <c r="B960" s="308" t="s">
        <v>1262</v>
      </c>
      <c r="C960" s="308"/>
      <c r="D960" s="308"/>
      <c r="E960" s="308"/>
      <c r="F960" s="154"/>
    </row>
    <row r="961" spans="1:7" ht="23.25">
      <c r="B961" s="201" t="s">
        <v>850</v>
      </c>
      <c r="C961" s="151" t="s">
        <v>1059</v>
      </c>
      <c r="D961" s="152">
        <v>1</v>
      </c>
      <c r="E961" s="173">
        <v>80000</v>
      </c>
      <c r="F961" s="154"/>
    </row>
    <row r="962" spans="1:7" ht="23.25">
      <c r="B962" s="201" t="s">
        <v>1065</v>
      </c>
      <c r="C962" s="151" t="s">
        <v>1060</v>
      </c>
      <c r="D962" s="152">
        <v>1</v>
      </c>
      <c r="E962" s="153">
        <v>80000</v>
      </c>
      <c r="F962" s="154"/>
    </row>
    <row r="963" spans="1:7" ht="23.25">
      <c r="B963" s="313" t="s">
        <v>700</v>
      </c>
      <c r="C963" s="314"/>
      <c r="D963" s="314"/>
      <c r="E963" s="315"/>
      <c r="F963" s="159"/>
    </row>
    <row r="964" spans="1:7" ht="23.25">
      <c r="A964" s="296" t="s">
        <v>1666</v>
      </c>
      <c r="B964" s="163" t="s">
        <v>1862</v>
      </c>
      <c r="C964" s="144"/>
      <c r="D964" s="144">
        <v>1</v>
      </c>
      <c r="E964" s="145"/>
      <c r="F964" s="159"/>
    </row>
    <row r="965" spans="1:7" ht="23.25">
      <c r="A965" s="296"/>
      <c r="B965" s="163" t="s">
        <v>1653</v>
      </c>
      <c r="C965" s="164" t="s">
        <v>1654</v>
      </c>
      <c r="D965" s="165">
        <v>1</v>
      </c>
      <c r="E965" s="255">
        <v>20000</v>
      </c>
      <c r="F965" s="159"/>
    </row>
    <row r="966" spans="1:7" ht="23.25">
      <c r="A966" s="296"/>
      <c r="B966" s="163" t="s">
        <v>1863</v>
      </c>
      <c r="C966" s="144"/>
      <c r="D966" s="144">
        <v>1</v>
      </c>
      <c r="E966" s="145"/>
      <c r="F966" s="159"/>
    </row>
    <row r="967" spans="1:7" ht="23.25">
      <c r="A967" s="296"/>
      <c r="B967" s="163" t="s">
        <v>1864</v>
      </c>
      <c r="C967" s="144"/>
      <c r="D967" s="144">
        <v>1</v>
      </c>
      <c r="E967" s="145"/>
      <c r="F967" s="159"/>
    </row>
    <row r="968" spans="1:7" ht="23.25">
      <c r="A968" s="276"/>
      <c r="B968" s="163" t="s">
        <v>1865</v>
      </c>
      <c r="C968" s="144"/>
      <c r="D968" s="144">
        <v>1</v>
      </c>
      <c r="E968" s="145"/>
      <c r="F968" s="159"/>
    </row>
    <row r="969" spans="1:7" ht="23.25">
      <c r="A969" s="276"/>
      <c r="B969" s="163" t="s">
        <v>1866</v>
      </c>
      <c r="C969" s="144"/>
      <c r="D969" s="144">
        <v>1</v>
      </c>
      <c r="E969" s="145"/>
      <c r="F969" s="159"/>
    </row>
    <row r="970" spans="1:7" ht="23.25">
      <c r="B970" s="234" t="s">
        <v>1268</v>
      </c>
      <c r="C970" s="150" t="s">
        <v>1269</v>
      </c>
      <c r="D970" s="152">
        <v>4</v>
      </c>
      <c r="E970" s="173">
        <v>35000</v>
      </c>
      <c r="F970" s="161">
        <v>80000</v>
      </c>
      <c r="G970" s="5" t="s">
        <v>1500</v>
      </c>
    </row>
    <row r="971" spans="1:7" ht="23.25">
      <c r="B971" s="251" t="s">
        <v>1867</v>
      </c>
      <c r="C971" s="252" t="s">
        <v>1000</v>
      </c>
      <c r="D971" s="253">
        <v>5</v>
      </c>
      <c r="E971" s="254">
        <v>15000</v>
      </c>
      <c r="F971" s="149"/>
    </row>
    <row r="972" spans="1:7" ht="23.25">
      <c r="B972" s="251" t="s">
        <v>1868</v>
      </c>
      <c r="C972" s="252" t="s">
        <v>1001</v>
      </c>
      <c r="D972" s="253">
        <v>3</v>
      </c>
      <c r="E972" s="254">
        <v>10000</v>
      </c>
      <c r="F972" s="149"/>
    </row>
    <row r="973" spans="1:7" ht="23.25">
      <c r="B973" s="251" t="s">
        <v>1869</v>
      </c>
      <c r="C973" s="252" t="s">
        <v>1002</v>
      </c>
      <c r="D973" s="253">
        <v>2</v>
      </c>
      <c r="E973" s="254">
        <v>10000</v>
      </c>
      <c r="F973" s="149"/>
    </row>
    <row r="974" spans="1:7" ht="23.25">
      <c r="B974" s="251" t="s">
        <v>1870</v>
      </c>
      <c r="C974" s="252" t="s">
        <v>702</v>
      </c>
      <c r="D974" s="253">
        <v>2</v>
      </c>
      <c r="E974" s="254">
        <v>10000</v>
      </c>
      <c r="F974" s="149"/>
    </row>
    <row r="975" spans="1:7" ht="23.25">
      <c r="B975" s="251" t="s">
        <v>1871</v>
      </c>
      <c r="C975" s="252" t="s">
        <v>701</v>
      </c>
      <c r="D975" s="253">
        <v>3</v>
      </c>
      <c r="E975" s="254">
        <v>10000</v>
      </c>
      <c r="F975" s="149"/>
    </row>
    <row r="976" spans="1:7" ht="21" customHeight="1">
      <c r="A976" s="295" t="s">
        <v>1737</v>
      </c>
      <c r="B976" s="257" t="s">
        <v>1872</v>
      </c>
      <c r="C976" s="260" t="s">
        <v>1873</v>
      </c>
      <c r="D976" s="257">
        <v>3</v>
      </c>
      <c r="E976" s="261">
        <v>25000</v>
      </c>
      <c r="F976" s="258">
        <v>99950</v>
      </c>
    </row>
    <row r="977" spans="1:6" ht="21" customHeight="1">
      <c r="A977" s="295"/>
      <c r="B977" s="257" t="s">
        <v>1874</v>
      </c>
      <c r="C977" s="260" t="s">
        <v>1580</v>
      </c>
      <c r="D977" s="257">
        <v>1</v>
      </c>
      <c r="E977" s="261">
        <v>15000</v>
      </c>
      <c r="F977" s="258">
        <v>36950</v>
      </c>
    </row>
    <row r="978" spans="1:6" ht="21" customHeight="1">
      <c r="A978" s="295"/>
      <c r="B978" s="257" t="s">
        <v>1875</v>
      </c>
      <c r="C978" s="260" t="s">
        <v>1581</v>
      </c>
      <c r="D978" s="257">
        <v>1</v>
      </c>
      <c r="E978" s="261">
        <v>15000</v>
      </c>
      <c r="F978" s="258">
        <v>22950</v>
      </c>
    </row>
    <row r="979" spans="1:6" ht="21" customHeight="1">
      <c r="A979" s="295"/>
      <c r="B979" s="257" t="s">
        <v>1876</v>
      </c>
      <c r="C979" s="260" t="s">
        <v>1877</v>
      </c>
      <c r="D979" s="257">
        <v>1</v>
      </c>
      <c r="E979" s="261">
        <v>20000</v>
      </c>
      <c r="F979" s="258">
        <v>32950</v>
      </c>
    </row>
    <row r="980" spans="1:6" ht="20.25">
      <c r="A980" s="256"/>
      <c r="B980" s="257"/>
      <c r="C980" s="260"/>
      <c r="D980" s="257"/>
      <c r="E980" s="261"/>
      <c r="F980" s="258"/>
    </row>
    <row r="981" spans="1:6" ht="20.25">
      <c r="A981" s="256" t="s">
        <v>1606</v>
      </c>
      <c r="B981" s="257" t="s">
        <v>1573</v>
      </c>
      <c r="C981" s="260"/>
      <c r="D981" s="257">
        <v>2</v>
      </c>
      <c r="E981" s="261">
        <v>15000</v>
      </c>
      <c r="F981" s="258">
        <v>19950</v>
      </c>
    </row>
    <row r="982" spans="1:6" ht="20.25">
      <c r="A982" s="256" t="s">
        <v>1606</v>
      </c>
      <c r="B982" s="257" t="s">
        <v>1878</v>
      </c>
      <c r="C982" s="260" t="s">
        <v>1582</v>
      </c>
      <c r="D982" s="257">
        <v>2</v>
      </c>
      <c r="E982" s="261"/>
      <c r="F982" s="258">
        <v>39950</v>
      </c>
    </row>
    <row r="983" spans="1:6" ht="20.25">
      <c r="A983" s="277" t="s">
        <v>1737</v>
      </c>
      <c r="B983" s="257" t="s">
        <v>1583</v>
      </c>
      <c r="C983" s="260" t="s">
        <v>1584</v>
      </c>
      <c r="D983" s="257">
        <v>4</v>
      </c>
      <c r="E983" s="261">
        <v>15000</v>
      </c>
      <c r="F983" s="258">
        <v>44950</v>
      </c>
    </row>
    <row r="984" spans="1:6" ht="20.25">
      <c r="A984" s="256" t="s">
        <v>1606</v>
      </c>
      <c r="B984" s="257" t="s">
        <v>1586</v>
      </c>
      <c r="C984" s="260" t="s">
        <v>1585</v>
      </c>
      <c r="D984" s="257">
        <v>9</v>
      </c>
      <c r="E984" s="261">
        <v>20000</v>
      </c>
      <c r="F984" s="258">
        <v>29950</v>
      </c>
    </row>
    <row r="985" spans="1:6" ht="20.25">
      <c r="A985" s="256"/>
      <c r="B985" s="257" t="s">
        <v>1589</v>
      </c>
      <c r="C985" s="260" t="s">
        <v>1588</v>
      </c>
      <c r="D985" s="257">
        <v>1</v>
      </c>
      <c r="E985" s="261">
        <v>5000</v>
      </c>
      <c r="F985" s="258">
        <v>12950</v>
      </c>
    </row>
    <row r="986" spans="1:6" ht="20.25">
      <c r="A986" s="256"/>
      <c r="B986" s="257" t="s">
        <v>1574</v>
      </c>
      <c r="C986" s="260" t="s">
        <v>1588</v>
      </c>
      <c r="D986" s="257">
        <v>1</v>
      </c>
      <c r="E986" s="261">
        <v>5000</v>
      </c>
      <c r="F986" s="258">
        <v>12950</v>
      </c>
    </row>
    <row r="987" spans="1:6" ht="20.25">
      <c r="A987" s="256"/>
      <c r="B987" s="257" t="s">
        <v>1575</v>
      </c>
      <c r="C987" s="260" t="s">
        <v>1588</v>
      </c>
      <c r="D987" s="257">
        <v>1</v>
      </c>
      <c r="E987" s="261">
        <v>5000</v>
      </c>
      <c r="F987" s="258">
        <v>12950</v>
      </c>
    </row>
    <row r="988" spans="1:6" ht="20.25">
      <c r="A988" s="256"/>
      <c r="B988" s="257" t="s">
        <v>1576</v>
      </c>
      <c r="C988" s="260" t="s">
        <v>1588</v>
      </c>
      <c r="D988" s="257">
        <v>1</v>
      </c>
      <c r="E988" s="261">
        <v>5000</v>
      </c>
      <c r="F988" s="258">
        <v>12950</v>
      </c>
    </row>
    <row r="989" spans="1:6" ht="20.25">
      <c r="A989" s="256"/>
      <c r="B989" s="257" t="s">
        <v>1575</v>
      </c>
      <c r="C989" s="260" t="s">
        <v>1588</v>
      </c>
      <c r="D989" s="257">
        <v>1</v>
      </c>
      <c r="E989" s="261">
        <v>5000</v>
      </c>
      <c r="F989" s="258">
        <v>12950</v>
      </c>
    </row>
    <row r="990" spans="1:6" ht="20.25">
      <c r="A990" s="256"/>
      <c r="B990" s="257" t="s">
        <v>1574</v>
      </c>
      <c r="C990" s="260" t="s">
        <v>1590</v>
      </c>
      <c r="D990" s="257">
        <v>1</v>
      </c>
      <c r="E990" s="261">
        <v>5000</v>
      </c>
      <c r="F990" s="258">
        <v>12950</v>
      </c>
    </row>
    <row r="991" spans="1:6" ht="20.25">
      <c r="A991" s="256"/>
      <c r="B991" s="257" t="s">
        <v>1577</v>
      </c>
      <c r="C991" s="260" t="s">
        <v>1591</v>
      </c>
      <c r="D991" s="257">
        <v>2</v>
      </c>
      <c r="E991" s="261">
        <v>10000</v>
      </c>
      <c r="F991" s="258">
        <v>29950</v>
      </c>
    </row>
    <row r="992" spans="1:6" ht="20.25">
      <c r="A992" s="256"/>
      <c r="B992" s="257" t="s">
        <v>1578</v>
      </c>
      <c r="C992" s="260" t="s">
        <v>1591</v>
      </c>
      <c r="D992" s="257">
        <v>2</v>
      </c>
      <c r="E992" s="261">
        <v>10000</v>
      </c>
      <c r="F992" s="258">
        <v>29950</v>
      </c>
    </row>
    <row r="993" spans="1:6" ht="20.25">
      <c r="A993" s="256"/>
      <c r="B993" s="257" t="s">
        <v>1592</v>
      </c>
      <c r="C993" s="260" t="s">
        <v>1593</v>
      </c>
      <c r="D993" s="257">
        <v>1</v>
      </c>
      <c r="E993" s="261">
        <v>10000</v>
      </c>
      <c r="F993" s="258">
        <v>22950</v>
      </c>
    </row>
    <row r="994" spans="1:6" ht="20.25">
      <c r="A994" s="256"/>
      <c r="B994" s="257" t="s">
        <v>1592</v>
      </c>
      <c r="C994" s="260" t="s">
        <v>1594</v>
      </c>
      <c r="D994" s="257">
        <v>1</v>
      </c>
      <c r="E994" s="261">
        <v>12000</v>
      </c>
      <c r="F994" s="258">
        <v>39950</v>
      </c>
    </row>
    <row r="995" spans="1:6" ht="20.25">
      <c r="A995" s="256"/>
      <c r="B995" s="257" t="s">
        <v>1592</v>
      </c>
      <c r="C995" s="260" t="s">
        <v>1595</v>
      </c>
      <c r="D995" s="257">
        <v>1</v>
      </c>
      <c r="E995" s="261">
        <v>15000</v>
      </c>
      <c r="F995" s="258">
        <v>54950</v>
      </c>
    </row>
    <row r="996" spans="1:6" ht="20.25">
      <c r="A996" s="256"/>
      <c r="B996" s="257" t="s">
        <v>1599</v>
      </c>
      <c r="C996" s="260" t="s">
        <v>1596</v>
      </c>
      <c r="D996" s="257">
        <v>2</v>
      </c>
      <c r="E996" s="261">
        <v>10000</v>
      </c>
      <c r="F996" s="258">
        <v>39950</v>
      </c>
    </row>
    <row r="997" spans="1:6" ht="20.25">
      <c r="A997" s="256"/>
      <c r="B997" s="257" t="s">
        <v>1599</v>
      </c>
      <c r="C997" s="260" t="s">
        <v>1597</v>
      </c>
      <c r="D997" s="257">
        <v>2</v>
      </c>
      <c r="E997" s="261">
        <v>8000</v>
      </c>
      <c r="F997" s="258">
        <v>29950</v>
      </c>
    </row>
    <row r="998" spans="1:6" ht="40.5">
      <c r="A998" s="256"/>
      <c r="B998" s="262" t="s">
        <v>1579</v>
      </c>
      <c r="C998" s="260"/>
      <c r="D998" s="259">
        <v>2</v>
      </c>
      <c r="E998" s="261"/>
      <c r="F998" s="258">
        <v>19950</v>
      </c>
    </row>
    <row r="999" spans="1:6" ht="20.25">
      <c r="A999" s="256"/>
      <c r="B999" s="257" t="s">
        <v>1600</v>
      </c>
      <c r="C999" s="260" t="s">
        <v>1598</v>
      </c>
      <c r="D999" s="257">
        <v>7</v>
      </c>
      <c r="E999" s="261">
        <v>3000</v>
      </c>
      <c r="F999" s="258">
        <v>12950</v>
      </c>
    </row>
    <row r="1000" spans="1:6" ht="23.25">
      <c r="B1000" s="313" t="s">
        <v>644</v>
      </c>
      <c r="C1000" s="314"/>
      <c r="D1000" s="314"/>
      <c r="E1000" s="315"/>
      <c r="F1000" s="154"/>
    </row>
    <row r="1001" spans="1:6" ht="23.25">
      <c r="B1001" s="248" t="s">
        <v>84</v>
      </c>
      <c r="C1001" s="222"/>
      <c r="D1001" s="139">
        <v>2</v>
      </c>
      <c r="E1001" s="158"/>
      <c r="F1001" s="154"/>
    </row>
    <row r="1002" spans="1:6" ht="23.25">
      <c r="B1002" s="248" t="s">
        <v>962</v>
      </c>
      <c r="C1002" s="156"/>
      <c r="D1002" s="152">
        <v>5</v>
      </c>
      <c r="E1002" s="167"/>
      <c r="F1002" s="154"/>
    </row>
    <row r="1003" spans="1:6" ht="23.25">
      <c r="B1003" s="248" t="s">
        <v>82</v>
      </c>
      <c r="C1003" s="156"/>
      <c r="D1003" s="152">
        <v>2</v>
      </c>
      <c r="E1003" s="167"/>
      <c r="F1003" s="154"/>
    </row>
    <row r="1004" spans="1:6" ht="23.25">
      <c r="B1004" s="249" t="s">
        <v>83</v>
      </c>
      <c r="C1004" s="223"/>
      <c r="D1004" s="219">
        <v>4</v>
      </c>
      <c r="E1004" s="224"/>
      <c r="F1004" s="154"/>
    </row>
    <row r="1005" spans="1:6" ht="23.25">
      <c r="B1005" s="300" t="s">
        <v>1254</v>
      </c>
      <c r="C1005" s="301"/>
      <c r="D1005" s="301"/>
      <c r="E1005" s="302"/>
      <c r="F1005" s="201"/>
    </row>
    <row r="1006" spans="1:6" ht="23.25">
      <c r="B1006" s="146" t="s">
        <v>916</v>
      </c>
      <c r="C1006" s="146" t="s">
        <v>1050</v>
      </c>
      <c r="D1006" s="139">
        <v>1</v>
      </c>
      <c r="E1006" s="140"/>
      <c r="F1006" s="137"/>
    </row>
    <row r="1007" spans="1:6" ht="23.25">
      <c r="B1007" s="146" t="s">
        <v>917</v>
      </c>
      <c r="C1007" s="146" t="s">
        <v>1049</v>
      </c>
      <c r="D1007" s="139">
        <v>1</v>
      </c>
      <c r="E1007" s="140"/>
      <c r="F1007" s="137"/>
    </row>
    <row r="1008" spans="1:6" ht="23.25">
      <c r="B1008" s="146" t="s">
        <v>1054</v>
      </c>
      <c r="C1008" s="146" t="s">
        <v>1051</v>
      </c>
      <c r="D1008" s="139">
        <v>2</v>
      </c>
      <c r="E1008" s="140"/>
      <c r="F1008" s="137"/>
    </row>
    <row r="1009" spans="1:49" ht="23.25">
      <c r="B1009" s="146" t="s">
        <v>1053</v>
      </c>
      <c r="C1009" s="146" t="s">
        <v>1052</v>
      </c>
      <c r="D1009" s="139">
        <v>2</v>
      </c>
      <c r="E1009" s="140"/>
      <c r="F1009" s="137"/>
    </row>
    <row r="1010" spans="1:49" ht="23.25">
      <c r="B1010" s="146" t="s">
        <v>1213</v>
      </c>
      <c r="C1010" s="146" t="s">
        <v>1214</v>
      </c>
      <c r="D1010" s="139">
        <v>2</v>
      </c>
      <c r="E1010" s="140"/>
      <c r="F1010" s="137"/>
    </row>
    <row r="1011" spans="1:49" ht="23.25">
      <c r="B1011" s="297" t="s">
        <v>633</v>
      </c>
      <c r="C1011" s="298"/>
      <c r="D1011" s="298"/>
      <c r="E1011" s="299"/>
      <c r="F1011" s="147"/>
    </row>
    <row r="1012" spans="1:49" s="4" customFormat="1" ht="23.25">
      <c r="A1012" s="5"/>
      <c r="B1012" s="150" t="s">
        <v>36</v>
      </c>
      <c r="C1012" s="151" t="s">
        <v>35</v>
      </c>
      <c r="D1012" s="152">
        <v>2</v>
      </c>
      <c r="E1012" s="153">
        <v>150000</v>
      </c>
      <c r="F1012" s="154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/>
      <c r="AT1012"/>
      <c r="AU1012"/>
      <c r="AV1012"/>
      <c r="AW1012"/>
    </row>
    <row r="1013" spans="1:49" s="4" customFormat="1" ht="23.25">
      <c r="A1013" s="5"/>
      <c r="B1013" s="150" t="s">
        <v>211</v>
      </c>
      <c r="C1013" s="151" t="s">
        <v>34</v>
      </c>
      <c r="D1013" s="152">
        <v>8</v>
      </c>
      <c r="E1013" s="153">
        <v>150000</v>
      </c>
      <c r="F1013" s="154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/>
      <c r="AT1013"/>
      <c r="AU1013"/>
      <c r="AV1013"/>
      <c r="AW1013"/>
    </row>
    <row r="1014" spans="1:49" s="4" customFormat="1" ht="23.25">
      <c r="A1014" s="5"/>
      <c r="B1014" s="201" t="s">
        <v>1488</v>
      </c>
      <c r="C1014" s="201"/>
      <c r="D1014" s="152">
        <v>2</v>
      </c>
      <c r="E1014" s="247">
        <v>350000</v>
      </c>
      <c r="F1014" s="201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/>
      <c r="AT1014"/>
      <c r="AU1014"/>
      <c r="AV1014"/>
      <c r="AW1014"/>
    </row>
    <row r="1015" spans="1:49" s="4" customFormat="1" ht="23.25">
      <c r="A1015" s="5"/>
      <c r="B1015" s="201"/>
      <c r="C1015" s="201"/>
      <c r="D1015" s="201"/>
      <c r="E1015" s="201"/>
      <c r="F1015" s="201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</row>
    <row r="1016" spans="1:49" s="4" customFormat="1" ht="23.25">
      <c r="A1016" s="5"/>
      <c r="B1016" s="201" t="s">
        <v>1499</v>
      </c>
      <c r="C1016" s="201"/>
      <c r="D1016" s="201">
        <v>51</v>
      </c>
      <c r="E1016" s="201"/>
      <c r="F1016" s="201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</row>
    <row r="1017" spans="1:49" s="4" customFormat="1" ht="23.25">
      <c r="A1017" s="5"/>
      <c r="B1017" s="201" t="s">
        <v>1512</v>
      </c>
      <c r="C1017" s="201" t="s">
        <v>1511</v>
      </c>
      <c r="D1017" s="201">
        <v>2</v>
      </c>
      <c r="E1017" s="201"/>
      <c r="F1017" s="238" t="s">
        <v>1520</v>
      </c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</row>
    <row r="1018" spans="1:49" s="4" customFormat="1" ht="23.25">
      <c r="A1018" s="5"/>
      <c r="B1018" s="201" t="s">
        <v>1513</v>
      </c>
      <c r="C1018" s="201" t="s">
        <v>1511</v>
      </c>
      <c r="D1018" s="201">
        <v>4</v>
      </c>
      <c r="E1018" s="201"/>
      <c r="F1018" s="247">
        <v>25000</v>
      </c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</row>
    <row r="1019" spans="1:49" s="4" customFormat="1" ht="23.25">
      <c r="A1019" s="5"/>
      <c r="B1019" s="201" t="s">
        <v>1514</v>
      </c>
      <c r="C1019" s="201" t="s">
        <v>1511</v>
      </c>
      <c r="D1019" s="201">
        <v>4</v>
      </c>
      <c r="E1019" s="201"/>
      <c r="F1019" s="247">
        <v>25000</v>
      </c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</row>
    <row r="1020" spans="1:49" s="4" customFormat="1" ht="23.25">
      <c r="A1020" s="5"/>
      <c r="B1020" s="201" t="s">
        <v>1515</v>
      </c>
      <c r="C1020" s="201" t="s">
        <v>1511</v>
      </c>
      <c r="D1020" s="201">
        <v>4</v>
      </c>
      <c r="E1020" s="201" t="s">
        <v>1516</v>
      </c>
      <c r="F1020" s="247">
        <v>25000</v>
      </c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</row>
    <row r="1021" spans="1:49" s="4" customFormat="1" ht="23.25">
      <c r="A1021" s="5"/>
      <c r="B1021" s="201" t="s">
        <v>1517</v>
      </c>
      <c r="C1021" s="201"/>
      <c r="D1021" s="201">
        <v>4</v>
      </c>
      <c r="E1021" s="201" t="s">
        <v>1518</v>
      </c>
      <c r="F1021" s="20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</row>
    <row r="1022" spans="1:49" s="4" customFormat="1" ht="23.25">
      <c r="A1022" s="5"/>
      <c r="B1022" s="201" t="s">
        <v>1521</v>
      </c>
      <c r="C1022" s="201" t="s">
        <v>1519</v>
      </c>
      <c r="D1022" s="201">
        <v>4</v>
      </c>
      <c r="E1022" s="201"/>
      <c r="F1022" s="238">
        <v>16900</v>
      </c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</row>
    <row r="1023" spans="1:49" s="4" customFormat="1" ht="23.25">
      <c r="A1023" s="5"/>
      <c r="B1023" s="201" t="s">
        <v>1522</v>
      </c>
      <c r="C1023" s="201"/>
      <c r="D1023" s="201">
        <v>3</v>
      </c>
      <c r="E1023" s="201"/>
      <c r="F1023" s="201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</row>
    <row r="1024" spans="1:49" s="4" customFormat="1" ht="23.25">
      <c r="A1024" s="5"/>
      <c r="B1024" s="201" t="s">
        <v>1523</v>
      </c>
      <c r="C1024" s="201"/>
      <c r="D1024" s="201">
        <v>3</v>
      </c>
      <c r="E1024" s="201"/>
      <c r="F1024" s="201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</row>
    <row r="1025" spans="1:49" s="4" customFormat="1" ht="23.25">
      <c r="A1025" s="5"/>
      <c r="B1025" s="201" t="s">
        <v>1524</v>
      </c>
      <c r="C1025" s="201" t="s">
        <v>1525</v>
      </c>
      <c r="D1025" s="201">
        <v>4</v>
      </c>
      <c r="E1025" s="201"/>
      <c r="F1025" s="201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</row>
    <row r="1026" spans="1:49" s="4" customFormat="1" ht="23.25">
      <c r="A1026" s="5"/>
      <c r="B1026" s="201" t="s">
        <v>1526</v>
      </c>
      <c r="C1026" s="201" t="s">
        <v>1525</v>
      </c>
      <c r="D1026" s="201">
        <v>4</v>
      </c>
      <c r="E1026" s="201"/>
      <c r="F1026" s="201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</row>
    <row r="1027" spans="1:49" s="4" customFormat="1" ht="23.25">
      <c r="A1027" s="5"/>
      <c r="B1027" s="201" t="s">
        <v>1527</v>
      </c>
      <c r="C1027" s="201" t="s">
        <v>1525</v>
      </c>
      <c r="D1027" s="201">
        <v>2</v>
      </c>
      <c r="E1027" s="201"/>
      <c r="F1027" s="201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</row>
    <row r="1028" spans="1:49" s="4" customFormat="1" ht="23.25">
      <c r="A1028" s="5"/>
      <c r="B1028" s="201"/>
      <c r="C1028" s="201"/>
      <c r="D1028" s="201"/>
      <c r="E1028" s="201"/>
      <c r="F1028" s="201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</row>
    <row r="1029" spans="1:49" s="4" customFormat="1" ht="23.25">
      <c r="A1029" s="5"/>
      <c r="B1029" s="201" t="s">
        <v>1528</v>
      </c>
      <c r="C1029" s="201" t="s">
        <v>1529</v>
      </c>
      <c r="D1029" s="201" t="s">
        <v>1530</v>
      </c>
      <c r="E1029" s="201"/>
      <c r="F1029" s="201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</row>
    <row r="1030" spans="1:49" s="4" customFormat="1" ht="23.25">
      <c r="A1030" s="5"/>
      <c r="B1030" s="201" t="s">
        <v>1531</v>
      </c>
      <c r="C1030" s="201">
        <v>3</v>
      </c>
      <c r="D1030" s="201"/>
      <c r="E1030" s="201"/>
      <c r="F1030" s="201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</row>
    <row r="1031" spans="1:49" s="4" customFormat="1" ht="23.25">
      <c r="A1031" s="5"/>
      <c r="B1031" s="201" t="s">
        <v>1532</v>
      </c>
      <c r="C1031" s="201">
        <v>4</v>
      </c>
      <c r="D1031" s="201"/>
      <c r="E1031" s="201"/>
      <c r="F1031" s="20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</row>
    <row r="1032" spans="1:49" s="4" customFormat="1" ht="23.25">
      <c r="A1032" s="5"/>
      <c r="B1032" s="201" t="s">
        <v>1533</v>
      </c>
      <c r="C1032" s="201">
        <v>1</v>
      </c>
      <c r="D1032" s="201"/>
      <c r="E1032" s="201"/>
      <c r="F1032" s="201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</row>
    <row r="1033" spans="1:49" s="4" customFormat="1" ht="23.25">
      <c r="A1033" s="5"/>
      <c r="B1033" s="201"/>
      <c r="C1033" s="201"/>
      <c r="D1033" s="201"/>
      <c r="E1033" s="201"/>
      <c r="F1033" s="201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</row>
    <row r="1034" spans="1:49" s="4" customFormat="1" ht="23.25">
      <c r="A1034" s="5"/>
      <c r="B1034" s="201" t="s">
        <v>1613</v>
      </c>
      <c r="C1034" s="201"/>
      <c r="D1034" s="201"/>
      <c r="E1034" s="201"/>
      <c r="F1034" s="201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</row>
    <row r="1035" spans="1:49" s="4" customFormat="1" ht="23.25">
      <c r="A1035" s="5"/>
      <c r="B1035" s="201" t="s">
        <v>1616</v>
      </c>
      <c r="C1035" s="201">
        <v>2</v>
      </c>
      <c r="D1035" s="201"/>
      <c r="E1035" s="201"/>
      <c r="F1035" s="201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</row>
    <row r="1036" spans="1:49" s="4" customFormat="1" ht="23.25">
      <c r="A1036" s="5"/>
      <c r="B1036" s="201" t="s">
        <v>1615</v>
      </c>
      <c r="C1036" s="201">
        <v>1</v>
      </c>
      <c r="D1036" s="201"/>
      <c r="E1036" s="201"/>
      <c r="F1036" s="201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</row>
    <row r="1037" spans="1:49" s="4" customFormat="1" ht="23.25">
      <c r="A1037" s="5"/>
      <c r="B1037" s="201" t="s">
        <v>1614</v>
      </c>
      <c r="C1037" s="201">
        <v>1</v>
      </c>
      <c r="D1037" s="201"/>
      <c r="E1037" s="201"/>
      <c r="F1037" s="201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</row>
    <row r="1038" spans="1:49" s="4" customFormat="1" ht="23.25">
      <c r="A1038" s="5"/>
      <c r="B1038" s="201" t="s">
        <v>1617</v>
      </c>
      <c r="C1038" s="201">
        <v>3</v>
      </c>
      <c r="D1038" s="201"/>
      <c r="E1038" s="201"/>
      <c r="F1038" s="201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</row>
    <row r="1039" spans="1:49" s="4" customFormat="1" ht="23.25">
      <c r="A1039" s="5"/>
      <c r="B1039" s="201" t="s">
        <v>1618</v>
      </c>
      <c r="C1039" s="201"/>
      <c r="D1039" s="201"/>
      <c r="E1039" s="201"/>
      <c r="F1039" s="201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</row>
    <row r="1040" spans="1:49" s="4" customFormat="1" ht="23.25">
      <c r="A1040" s="5"/>
      <c r="B1040" s="201"/>
      <c r="C1040" s="201"/>
      <c r="D1040" s="201"/>
      <c r="E1040" s="201"/>
      <c r="F1040" s="201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</row>
    <row r="1041" spans="1:49" s="4" customFormat="1" ht="23.25">
      <c r="A1041" s="5"/>
      <c r="B1041" s="201"/>
      <c r="C1041" s="201"/>
      <c r="D1041" s="201"/>
      <c r="E1041" s="201"/>
      <c r="F1041" s="20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</row>
    <row r="1042" spans="1:49" s="4" customFormat="1" ht="23.25">
      <c r="A1042" s="5"/>
      <c r="B1042" s="201"/>
      <c r="C1042" s="201"/>
      <c r="D1042" s="201"/>
      <c r="E1042" s="201"/>
      <c r="F1042" s="201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</row>
    <row r="1043" spans="1:49" s="4" customFormat="1" ht="23.25">
      <c r="A1043" s="5"/>
      <c r="B1043" s="201"/>
      <c r="C1043" s="201"/>
      <c r="D1043" s="201"/>
      <c r="E1043" s="201"/>
      <c r="F1043" s="201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</row>
    <row r="1044" spans="1:49" s="4" customFormat="1" ht="23.25">
      <c r="A1044" s="5"/>
      <c r="B1044" s="201"/>
      <c r="C1044" s="201"/>
      <c r="D1044" s="201"/>
      <c r="E1044" s="201"/>
      <c r="F1044" s="201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</row>
    <row r="1045" spans="1:49" s="4" customFormat="1" ht="23.25">
      <c r="A1045" s="5"/>
      <c r="B1045" s="201"/>
      <c r="C1045" s="201"/>
      <c r="D1045" s="201"/>
      <c r="E1045" s="201"/>
      <c r="F1045" s="201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</row>
    <row r="1046" spans="1:49" s="4" customFormat="1" ht="23.25">
      <c r="A1046" s="5"/>
      <c r="B1046" s="201"/>
      <c r="C1046" s="201"/>
      <c r="D1046" s="201"/>
      <c r="E1046" s="201"/>
      <c r="F1046" s="201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</row>
    <row r="1047" spans="1:49" s="4" customFormat="1" ht="23.25">
      <c r="A1047" s="5"/>
      <c r="B1047" s="201"/>
      <c r="C1047" s="201"/>
      <c r="D1047" s="201"/>
      <c r="E1047" s="201"/>
      <c r="F1047" s="201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</row>
    <row r="1048" spans="1:49" s="4" customFormat="1" ht="23.25">
      <c r="A1048" s="5"/>
      <c r="B1048" s="201"/>
      <c r="C1048" s="201"/>
      <c r="D1048" s="201"/>
      <c r="E1048" s="201"/>
      <c r="F1048" s="201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</row>
    <row r="1049" spans="1:49" s="4" customFormat="1" ht="23.25">
      <c r="A1049" s="5"/>
      <c r="B1049" s="201"/>
      <c r="C1049" s="201"/>
      <c r="D1049" s="201"/>
      <c r="E1049" s="201"/>
      <c r="F1049" s="201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</row>
    <row r="1050" spans="1:49" s="4" customFormat="1" ht="23.25">
      <c r="A1050" s="5"/>
      <c r="B1050" s="201"/>
      <c r="C1050" s="201"/>
      <c r="D1050" s="201"/>
      <c r="E1050" s="201"/>
      <c r="F1050" s="201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</row>
    <row r="1051" spans="1:49" s="4" customFormat="1" ht="23.25">
      <c r="A1051" s="5"/>
      <c r="B1051" s="201"/>
      <c r="C1051" s="201"/>
      <c r="D1051" s="201"/>
      <c r="E1051" s="201"/>
      <c r="F1051" s="20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</row>
    <row r="1052" spans="1:49" s="4" customFormat="1" ht="23.25">
      <c r="A1052" s="5"/>
      <c r="B1052" s="201"/>
      <c r="C1052" s="201"/>
      <c r="D1052" s="201"/>
      <c r="E1052" s="201"/>
      <c r="F1052" s="201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</row>
    <row r="1053" spans="1:49" s="4" customFormat="1" ht="23.25">
      <c r="A1053" s="5"/>
      <c r="B1053" s="201"/>
      <c r="C1053" s="201"/>
      <c r="D1053" s="201"/>
      <c r="E1053" s="201"/>
      <c r="F1053" s="201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</row>
    <row r="1054" spans="1:49" s="4" customFormat="1" ht="23.25">
      <c r="A1054" s="5"/>
      <c r="B1054" s="201"/>
      <c r="C1054" s="201"/>
      <c r="D1054" s="201"/>
      <c r="E1054" s="201"/>
      <c r="F1054" s="201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</row>
    <row r="1055" spans="1:49" s="4" customFormat="1" ht="23.25">
      <c r="A1055" s="5"/>
      <c r="B1055" s="201"/>
      <c r="C1055" s="201"/>
      <c r="D1055" s="201"/>
      <c r="E1055" s="201"/>
      <c r="F1055" s="201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</row>
    <row r="1056" spans="1:49" s="4" customFormat="1" ht="23.25">
      <c r="A1056" s="5"/>
      <c r="B1056" s="201"/>
      <c r="C1056" s="201"/>
      <c r="D1056" s="201"/>
      <c r="E1056" s="201"/>
      <c r="F1056" s="201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</row>
    <row r="1057" spans="1:49" s="4" customFormat="1" ht="23.25">
      <c r="A1057" s="5"/>
      <c r="B1057" s="201"/>
      <c r="C1057" s="201"/>
      <c r="D1057" s="201"/>
      <c r="E1057" s="201"/>
      <c r="F1057" s="201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</row>
    <row r="1058" spans="1:49" s="4" customFormat="1" ht="23.25">
      <c r="A1058" s="5"/>
      <c r="B1058" s="201"/>
      <c r="C1058" s="201"/>
      <c r="D1058" s="201"/>
      <c r="E1058" s="201"/>
      <c r="F1058" s="201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</row>
    <row r="1059" spans="1:49" s="4" customFormat="1" ht="23.25">
      <c r="A1059" s="5"/>
      <c r="B1059" s="201"/>
      <c r="C1059" s="201"/>
      <c r="D1059" s="201"/>
      <c r="E1059" s="201"/>
      <c r="F1059" s="201"/>
      <c r="G1059" t="s">
        <v>746</v>
      </c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</row>
    <row r="1060" spans="1:49" s="4" customFormat="1" ht="23.25">
      <c r="A1060" s="5"/>
      <c r="B1060" s="201"/>
      <c r="C1060" s="201"/>
      <c r="D1060" s="201"/>
      <c r="E1060" s="201"/>
      <c r="F1060" s="201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</row>
    <row r="1061" spans="1:49" s="4" customFormat="1" ht="23.25">
      <c r="A1061" s="5"/>
      <c r="B1061" s="201"/>
      <c r="C1061" s="201"/>
      <c r="D1061" s="201"/>
      <c r="E1061" s="201"/>
      <c r="F1061" s="20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</row>
    <row r="1062" spans="1:49" s="4" customFormat="1" ht="15.95" customHeight="1">
      <c r="A1062" s="5"/>
      <c r="B1062" s="201"/>
      <c r="C1062" s="201"/>
      <c r="D1062" s="201"/>
      <c r="E1062" s="201"/>
      <c r="F1062" s="21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</row>
    <row r="1063" spans="1:49" s="4" customFormat="1" ht="23.25">
      <c r="A1063" s="5"/>
      <c r="B1063" s="201"/>
      <c r="C1063" s="201"/>
      <c r="D1063" s="201"/>
      <c r="E1063" s="201"/>
      <c r="F1063" s="212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</row>
    <row r="1064" spans="1:49" s="4" customFormat="1" ht="23.25">
      <c r="A1064" s="5"/>
      <c r="B1064" s="201"/>
      <c r="C1064" s="201"/>
      <c r="D1064" s="201"/>
      <c r="E1064" s="201"/>
      <c r="F1064" s="15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</row>
    <row r="1065" spans="1:49" s="4" customFormat="1" ht="23.25">
      <c r="A1065" s="5"/>
      <c r="B1065" s="201"/>
      <c r="C1065" s="201"/>
      <c r="D1065" s="201"/>
      <c r="E1065" s="201"/>
      <c r="F1065" s="154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</row>
    <row r="1066" spans="1:49" s="5" customFormat="1" ht="23.25">
      <c r="B1066" s="201"/>
      <c r="C1066" s="201"/>
      <c r="D1066" s="201"/>
      <c r="E1066" s="201"/>
      <c r="F1066" s="201"/>
    </row>
    <row r="1067" spans="1:49" s="91" customFormat="1" ht="23.25">
      <c r="B1067" s="225"/>
      <c r="C1067" s="225"/>
      <c r="D1067" s="225"/>
      <c r="E1067" s="225"/>
      <c r="F1067" s="225"/>
      <c r="G1067" s="91" t="s">
        <v>838</v>
      </c>
    </row>
    <row r="1068" spans="1:49" s="91" customFormat="1" ht="23.25">
      <c r="B1068" s="225"/>
      <c r="C1068" s="225"/>
      <c r="D1068" s="225"/>
      <c r="E1068" s="225"/>
      <c r="F1068" s="225"/>
    </row>
    <row r="1069" spans="1:49" s="91" customFormat="1" ht="23.25">
      <c r="B1069" s="225"/>
      <c r="C1069" s="225"/>
      <c r="D1069" s="225"/>
      <c r="E1069" s="225"/>
      <c r="F1069" s="225"/>
    </row>
    <row r="1070" spans="1:49" s="91" customFormat="1" ht="23.25">
      <c r="B1070" s="225"/>
      <c r="C1070" s="225"/>
      <c r="D1070" s="225"/>
      <c r="E1070" s="225"/>
      <c r="F1070" s="225"/>
    </row>
    <row r="1071" spans="1:49" s="91" customFormat="1" ht="23.25">
      <c r="B1071" s="225"/>
      <c r="C1071" s="225"/>
      <c r="D1071" s="225"/>
      <c r="E1071" s="225"/>
      <c r="F1071" s="225"/>
    </row>
    <row r="1072" spans="1:49" s="91" customFormat="1" ht="23.25">
      <c r="B1072" s="225"/>
      <c r="C1072" s="225"/>
      <c r="D1072" s="225"/>
      <c r="E1072" s="225"/>
      <c r="F1072" s="225"/>
    </row>
    <row r="1073" spans="2:6" s="91" customFormat="1" ht="23.25">
      <c r="B1073" s="225"/>
      <c r="C1073" s="225"/>
      <c r="D1073" s="225"/>
      <c r="E1073" s="225"/>
      <c r="F1073" s="225"/>
    </row>
    <row r="1074" spans="2:6" s="91" customFormat="1" ht="23.25">
      <c r="B1074" s="225"/>
      <c r="C1074" s="225"/>
      <c r="D1074" s="225"/>
      <c r="E1074" s="225"/>
      <c r="F1074" s="225"/>
    </row>
    <row r="1075" spans="2:6" s="91" customFormat="1" ht="23.25">
      <c r="B1075" s="225"/>
      <c r="C1075" s="225"/>
      <c r="D1075" s="225"/>
      <c r="E1075" s="225"/>
      <c r="F1075" s="225"/>
    </row>
    <row r="1076" spans="2:6" s="91" customFormat="1" ht="23.25">
      <c r="B1076" s="225"/>
      <c r="C1076" s="225"/>
      <c r="D1076" s="225"/>
      <c r="E1076" s="225"/>
      <c r="F1076" s="225"/>
    </row>
    <row r="1077" spans="2:6" s="91" customFormat="1" ht="23.25">
      <c r="B1077" s="225"/>
      <c r="C1077" s="225"/>
      <c r="D1077" s="225"/>
      <c r="E1077" s="225"/>
      <c r="F1077" s="225"/>
    </row>
    <row r="1078" spans="2:6" s="91" customFormat="1" ht="23.25">
      <c r="B1078" s="225"/>
      <c r="C1078" s="225"/>
      <c r="D1078" s="225"/>
      <c r="E1078" s="225"/>
      <c r="F1078" s="225"/>
    </row>
    <row r="1079" spans="2:6" s="91" customFormat="1" ht="23.25">
      <c r="B1079" s="225"/>
      <c r="C1079" s="225"/>
      <c r="D1079" s="225"/>
      <c r="E1079" s="225"/>
      <c r="F1079" s="225"/>
    </row>
    <row r="1080" spans="2:6" ht="23.25">
      <c r="B1080" s="130"/>
      <c r="C1080" s="130"/>
      <c r="D1080" s="139"/>
      <c r="E1080" s="140"/>
      <c r="F1080" s="137"/>
    </row>
    <row r="1081" spans="2:6" ht="23.25">
      <c r="B1081" s="130"/>
      <c r="C1081" s="130"/>
      <c r="D1081" s="139"/>
      <c r="E1081" s="140"/>
      <c r="F1081" s="137"/>
    </row>
    <row r="1082" spans="2:6" ht="23.25">
      <c r="B1082" s="130"/>
      <c r="C1082" s="130"/>
      <c r="D1082" s="139"/>
      <c r="E1082" s="140"/>
      <c r="F1082" s="137"/>
    </row>
    <row r="1083" spans="2:6" ht="23.25">
      <c r="B1083" s="130"/>
      <c r="C1083" s="130"/>
      <c r="D1083" s="139"/>
      <c r="E1083" s="140"/>
      <c r="F1083" s="137"/>
    </row>
    <row r="1084" spans="2:6" ht="18" customHeight="1">
      <c r="B1084" s="130"/>
      <c r="C1084" s="130"/>
      <c r="D1084" s="139"/>
      <c r="E1084" s="140"/>
      <c r="F1084" s="137"/>
    </row>
    <row r="1085" spans="2:6" ht="15" customHeight="1">
      <c r="B1085" s="130"/>
      <c r="C1085" s="130"/>
      <c r="D1085" s="139"/>
      <c r="E1085" s="140"/>
      <c r="F1085" s="137"/>
    </row>
    <row r="1086" spans="2:6" ht="23.25">
      <c r="B1086" s="130"/>
      <c r="C1086" s="130"/>
      <c r="D1086" s="139"/>
      <c r="E1086" s="140"/>
      <c r="F1086" s="137"/>
    </row>
    <row r="1087" spans="2:6" ht="23.25">
      <c r="B1087" s="130"/>
      <c r="C1087" s="130"/>
      <c r="D1087" s="139"/>
      <c r="E1087" s="140"/>
      <c r="F1087" s="137"/>
    </row>
    <row r="1088" spans="2:6" ht="23.25">
      <c r="B1088" s="226"/>
      <c r="C1088" s="226"/>
      <c r="D1088" s="227"/>
      <c r="E1088" s="228"/>
      <c r="F1088" s="229"/>
    </row>
    <row r="1089" spans="1:39" s="4" customFormat="1" ht="23.25">
      <c r="A1089" s="5"/>
      <c r="B1089" s="207"/>
      <c r="C1089" s="201"/>
      <c r="D1089" s="201"/>
      <c r="E1089" s="201"/>
      <c r="F1089" s="201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</row>
    <row r="1090" spans="1:39" s="5" customFormat="1" ht="24" customHeight="1">
      <c r="B1090" s="207"/>
      <c r="C1090" s="201"/>
      <c r="D1090" s="201"/>
      <c r="E1090" s="201"/>
      <c r="F1090" s="201"/>
    </row>
    <row r="1091" spans="1:39" s="5" customFormat="1" ht="24" customHeight="1">
      <c r="B1091" s="207"/>
      <c r="C1091" s="201"/>
      <c r="D1091" s="201"/>
      <c r="E1091" s="201"/>
      <c r="F1091" s="201"/>
    </row>
    <row r="1092" spans="1:39" s="4" customFormat="1" ht="19.5" customHeight="1">
      <c r="A1092" s="5"/>
      <c r="B1092" s="207"/>
      <c r="C1092" s="201"/>
      <c r="D1092" s="201"/>
      <c r="E1092" s="201"/>
      <c r="F1092" s="201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</row>
    <row r="1093" spans="1:39" s="4" customFormat="1" ht="23.25">
      <c r="A1093" s="5"/>
      <c r="B1093" s="207"/>
      <c r="C1093" s="201"/>
      <c r="D1093" s="201"/>
      <c r="E1093" s="201"/>
      <c r="F1093" s="201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</row>
    <row r="1094" spans="1:39" s="4" customFormat="1" ht="15.75" customHeight="1">
      <c r="A1094" s="5"/>
      <c r="B1094" s="207"/>
      <c r="C1094" s="201"/>
      <c r="D1094" s="201"/>
      <c r="E1094" s="201"/>
      <c r="F1094" s="201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</row>
    <row r="1095" spans="1:39" s="4" customFormat="1" ht="15.75" customHeight="1">
      <c r="A1095" s="5"/>
      <c r="B1095" s="207"/>
      <c r="C1095" s="201"/>
      <c r="D1095" s="201"/>
      <c r="E1095" s="201"/>
      <c r="F1095" s="201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</row>
    <row r="1096" spans="1:39" s="4" customFormat="1" ht="23.25">
      <c r="A1096" s="5"/>
      <c r="B1096" s="207"/>
      <c r="C1096" s="201"/>
      <c r="D1096" s="201"/>
      <c r="E1096" s="201"/>
      <c r="F1096" s="201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</row>
    <row r="1097" spans="1:39" s="5" customFormat="1" ht="15" customHeight="1">
      <c r="B1097" s="207"/>
      <c r="C1097" s="201"/>
      <c r="D1097" s="201"/>
      <c r="E1097" s="201"/>
      <c r="F1097" s="201"/>
    </row>
    <row r="1098" spans="1:39" s="5" customFormat="1" ht="23.25">
      <c r="B1098" s="207"/>
      <c r="C1098" s="201"/>
      <c r="D1098" s="201"/>
      <c r="E1098" s="201"/>
      <c r="F1098" s="201"/>
    </row>
    <row r="1099" spans="1:39" s="63" customFormat="1" ht="23.25">
      <c r="A1099" s="5"/>
      <c r="B1099" s="207"/>
      <c r="C1099" s="201"/>
      <c r="D1099" s="201"/>
      <c r="E1099" s="201"/>
      <c r="F1099" s="201"/>
    </row>
    <row r="1100" spans="1:39" s="5" customFormat="1" ht="23.25">
      <c r="B1100" s="207"/>
      <c r="C1100" s="201"/>
      <c r="D1100" s="201"/>
      <c r="E1100" s="201"/>
      <c r="F1100" s="201"/>
    </row>
    <row r="1101" spans="1:39" s="5" customFormat="1" ht="23.25">
      <c r="B1101" s="207"/>
      <c r="C1101" s="201"/>
      <c r="D1101" s="201"/>
      <c r="E1101" s="201"/>
      <c r="F1101" s="201"/>
    </row>
    <row r="1102" spans="1:39" s="5" customFormat="1" ht="23.25">
      <c r="B1102" s="207"/>
      <c r="C1102" s="201"/>
      <c r="D1102" s="201"/>
      <c r="E1102" s="201"/>
      <c r="F1102" s="201"/>
    </row>
    <row r="1103" spans="1:39" s="5" customFormat="1" ht="23.25">
      <c r="B1103" s="207"/>
      <c r="C1103" s="201"/>
      <c r="D1103" s="201"/>
      <c r="E1103" s="201"/>
      <c r="F1103" s="201"/>
    </row>
    <row r="1104" spans="1:39" s="5" customFormat="1" ht="23.25">
      <c r="B1104" s="207"/>
      <c r="C1104" s="201"/>
      <c r="D1104" s="201"/>
      <c r="E1104" s="201"/>
      <c r="F1104" s="201"/>
    </row>
    <row r="1105" spans="1:76" s="102" customFormat="1" ht="23.25">
      <c r="A1105" s="91"/>
      <c r="B1105" s="230"/>
      <c r="C1105" s="225"/>
      <c r="D1105" s="225"/>
      <c r="E1105" s="225"/>
      <c r="F1105" s="225"/>
    </row>
    <row r="1106" spans="1:76" s="5" customFormat="1" ht="23.25">
      <c r="B1106" s="207"/>
      <c r="C1106" s="201"/>
      <c r="D1106" s="201"/>
      <c r="E1106" s="201"/>
      <c r="F1106" s="201"/>
    </row>
    <row r="1107" spans="1:76" s="4" customFormat="1" ht="23.25">
      <c r="A1107" s="5"/>
      <c r="B1107" s="207"/>
      <c r="C1107" s="201"/>
      <c r="D1107" s="201"/>
      <c r="E1107" s="201"/>
      <c r="F1107" s="201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</row>
    <row r="1108" spans="1:76" s="4" customFormat="1" ht="23.25">
      <c r="A1108" s="5"/>
      <c r="B1108" s="207"/>
      <c r="C1108" s="201"/>
      <c r="D1108" s="201"/>
      <c r="E1108" s="201"/>
      <c r="F1108" s="201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</row>
    <row r="1109" spans="1:76" s="4" customFormat="1" ht="23.25">
      <c r="A1109" s="5"/>
      <c r="B1109" s="207"/>
      <c r="C1109" s="201"/>
      <c r="D1109" s="201"/>
      <c r="E1109" s="201"/>
      <c r="F1109" s="201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</row>
    <row r="1110" spans="1:76" s="4" customFormat="1" ht="23.25">
      <c r="A1110" s="5"/>
      <c r="B1110" s="207"/>
      <c r="C1110" s="201"/>
      <c r="D1110" s="201"/>
      <c r="E1110" s="201"/>
      <c r="F1110" s="201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</row>
    <row r="1111" spans="1:76" s="63" customFormat="1" ht="23.25">
      <c r="A1111" s="5"/>
      <c r="B1111" s="207"/>
      <c r="C1111" s="201"/>
      <c r="D1111" s="201"/>
      <c r="E1111" s="201"/>
      <c r="F1111" s="201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</row>
    <row r="1112" spans="1:76" s="5" customFormat="1" ht="23.25">
      <c r="B1112" s="207"/>
      <c r="C1112" s="201"/>
      <c r="D1112" s="201"/>
      <c r="E1112" s="201"/>
      <c r="F1112" s="201"/>
    </row>
    <row r="1113" spans="1:76" s="4" customFormat="1" ht="15" customHeight="1">
      <c r="A1113" s="5"/>
      <c r="B1113" s="207"/>
      <c r="C1113" s="201"/>
      <c r="D1113" s="201"/>
      <c r="E1113" s="201"/>
      <c r="F1113" s="201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</row>
    <row r="1114" spans="1:76" s="5" customFormat="1" ht="23.25">
      <c r="B1114" s="207"/>
      <c r="C1114" s="201"/>
      <c r="D1114" s="201"/>
      <c r="E1114" s="201"/>
      <c r="F1114" s="201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</row>
    <row r="1115" spans="1:76" s="4" customFormat="1" ht="23.25">
      <c r="A1115" s="5"/>
      <c r="B1115" s="207"/>
      <c r="C1115" s="201"/>
      <c r="D1115" s="201"/>
      <c r="E1115" s="201"/>
      <c r="F1115" s="201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</row>
    <row r="1116" spans="1:76" s="4" customFormat="1" ht="23.25">
      <c r="A1116" s="5"/>
      <c r="B1116" s="207"/>
      <c r="C1116" s="201"/>
      <c r="D1116" s="201"/>
      <c r="E1116" s="201"/>
      <c r="F1116" s="201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</row>
    <row r="1117" spans="1:76" s="4" customFormat="1" ht="23.25">
      <c r="A1117" s="5"/>
      <c r="B1117" s="207"/>
      <c r="C1117" s="201"/>
      <c r="D1117" s="201"/>
      <c r="E1117" s="201"/>
      <c r="F1117" s="201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</row>
    <row r="1118" spans="1:76" s="4" customFormat="1" ht="23.25">
      <c r="A1118" s="5"/>
      <c r="B1118" s="207"/>
      <c r="C1118" s="201"/>
      <c r="D1118" s="201"/>
      <c r="E1118" s="201"/>
      <c r="F1118" s="201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</row>
    <row r="1119" spans="1:76" s="4" customFormat="1" ht="23.25">
      <c r="A1119" s="5"/>
      <c r="B1119" s="207"/>
      <c r="C1119" s="201"/>
      <c r="D1119" s="201"/>
      <c r="E1119" s="201"/>
      <c r="F1119" s="201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</row>
    <row r="1120" spans="1:76" s="4" customFormat="1" ht="23.25">
      <c r="A1120" s="5"/>
      <c r="B1120" s="207"/>
      <c r="C1120" s="201"/>
      <c r="D1120" s="201"/>
      <c r="E1120" s="201"/>
      <c r="F1120" s="201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</row>
    <row r="1121" spans="1:39" s="4" customFormat="1" ht="23.25">
      <c r="A1121" s="5"/>
      <c r="B1121" s="207"/>
      <c r="C1121" s="201"/>
      <c r="D1121" s="201"/>
      <c r="E1121" s="201"/>
      <c r="F1121" s="20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</row>
    <row r="1122" spans="1:39" s="4" customFormat="1" ht="23.25">
      <c r="A1122" s="5"/>
      <c r="B1122" s="207"/>
      <c r="C1122" s="201"/>
      <c r="D1122" s="201"/>
      <c r="E1122" s="201"/>
      <c r="F1122" s="201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</row>
    <row r="1123" spans="1:39" s="4" customFormat="1" ht="23.25">
      <c r="A1123" s="5"/>
      <c r="B1123" s="207"/>
      <c r="C1123" s="201"/>
      <c r="D1123" s="201"/>
      <c r="E1123" s="201"/>
      <c r="F1123" s="201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</row>
    <row r="1124" spans="1:39" s="4" customFormat="1" ht="23.25">
      <c r="A1124" s="5"/>
      <c r="B1124" s="207"/>
      <c r="C1124" s="201"/>
      <c r="D1124" s="201"/>
      <c r="E1124" s="201"/>
      <c r="F1124" s="201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</row>
    <row r="1125" spans="1:39" s="5" customFormat="1" ht="23.25">
      <c r="B1125" s="207"/>
      <c r="C1125" s="201"/>
      <c r="D1125" s="201"/>
      <c r="E1125" s="201"/>
      <c r="F1125" s="201"/>
    </row>
    <row r="1126" spans="1:39" s="5" customFormat="1" ht="23.25">
      <c r="B1126" s="207"/>
      <c r="C1126" s="201"/>
      <c r="D1126" s="201"/>
      <c r="E1126" s="201"/>
      <c r="F1126" s="201"/>
      <c r="G1126" s="117"/>
      <c r="H1126" s="103"/>
      <c r="I1126" s="103"/>
      <c r="J1126" s="103"/>
      <c r="K1126" s="103"/>
      <c r="L1126" s="103"/>
    </row>
    <row r="1127" spans="1:39" s="5" customFormat="1" ht="23.25">
      <c r="B1127" s="207"/>
      <c r="C1127" s="201"/>
      <c r="D1127" s="201"/>
      <c r="E1127" s="201"/>
      <c r="F1127" s="201"/>
      <c r="G1127" s="117"/>
      <c r="H1127" s="103"/>
      <c r="I1127" s="103"/>
      <c r="J1127" s="103"/>
      <c r="K1127" s="103"/>
      <c r="L1127" s="103"/>
    </row>
    <row r="1128" spans="1:39" s="4" customFormat="1" ht="23.25">
      <c r="A1128" s="5"/>
      <c r="B1128" s="207"/>
      <c r="C1128" s="201"/>
      <c r="D1128" s="201"/>
      <c r="E1128" s="201"/>
      <c r="F1128" s="201"/>
      <c r="G1128" s="117"/>
      <c r="H1128" s="103"/>
      <c r="I1128" s="103"/>
      <c r="J1128" s="103"/>
      <c r="K1128" s="103"/>
      <c r="L1128" s="103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</row>
    <row r="1129" spans="1:39" s="4" customFormat="1" ht="23.25">
      <c r="A1129" s="5"/>
      <c r="B1129" s="207"/>
      <c r="C1129" s="201"/>
      <c r="D1129" s="201"/>
      <c r="E1129" s="201"/>
      <c r="F1129" s="201"/>
      <c r="G1129" s="117"/>
      <c r="H1129" s="103"/>
      <c r="I1129" s="103"/>
      <c r="J1129" s="103"/>
      <c r="K1129" s="103"/>
      <c r="L1129" s="103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</row>
    <row r="1130" spans="1:39" s="4" customFormat="1" ht="23.25">
      <c r="A1130" s="5"/>
      <c r="B1130" s="207"/>
      <c r="C1130" s="201"/>
      <c r="D1130" s="201"/>
      <c r="E1130" s="201"/>
      <c r="F1130" s="201"/>
      <c r="G1130" s="117"/>
      <c r="H1130" s="103"/>
      <c r="I1130" s="103"/>
      <c r="J1130" s="103"/>
      <c r="K1130" s="103"/>
      <c r="L1130" s="103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</row>
    <row r="1131" spans="1:39" s="4" customFormat="1" ht="23.25">
      <c r="A1131" s="5"/>
      <c r="B1131" s="207"/>
      <c r="C1131" s="201"/>
      <c r="D1131" s="201"/>
      <c r="E1131" s="201"/>
      <c r="F1131" s="201"/>
      <c r="G1131" s="117"/>
      <c r="H1131" s="103"/>
      <c r="I1131" s="103"/>
      <c r="J1131" s="103"/>
      <c r="K1131" s="103"/>
      <c r="L1131" s="103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</row>
    <row r="1132" spans="1:39" ht="23.25">
      <c r="B1132" s="207"/>
      <c r="C1132" s="201"/>
      <c r="D1132" s="152"/>
      <c r="E1132" s="155"/>
      <c r="F1132" s="154"/>
      <c r="G1132" s="117"/>
      <c r="H1132" s="103"/>
      <c r="I1132" s="103"/>
      <c r="J1132" s="103"/>
      <c r="K1132" s="103"/>
      <c r="L1132" s="103"/>
    </row>
    <row r="1133" spans="1:39" ht="23.25">
      <c r="B1133" s="207"/>
      <c r="C1133" s="201"/>
      <c r="D1133" s="152"/>
      <c r="E1133" s="155"/>
      <c r="F1133" s="154"/>
      <c r="G1133" s="117"/>
      <c r="H1133" s="103"/>
      <c r="I1133" s="103"/>
      <c r="J1133" s="103"/>
      <c r="K1133" s="103"/>
      <c r="L1133" s="103"/>
    </row>
    <row r="1134" spans="1:39" ht="23.25">
      <c r="B1134" s="207"/>
      <c r="C1134" s="201"/>
      <c r="D1134" s="152"/>
      <c r="E1134" s="155"/>
      <c r="F1134" s="154"/>
      <c r="G1134" s="117"/>
      <c r="H1134" s="103"/>
      <c r="I1134" s="103"/>
      <c r="J1134" s="103"/>
      <c r="K1134" s="103"/>
      <c r="L1134" s="103"/>
    </row>
    <row r="1135" spans="1:39" s="4" customFormat="1" ht="23.25">
      <c r="A1135" s="5"/>
      <c r="B1135" s="207"/>
      <c r="C1135" s="201"/>
      <c r="D1135" s="201"/>
      <c r="E1135" s="201"/>
      <c r="F1135" s="201"/>
      <c r="G1135" s="117"/>
      <c r="H1135" s="103"/>
      <c r="I1135" s="103"/>
      <c r="J1135" s="103"/>
      <c r="K1135" s="103"/>
      <c r="L1135" s="103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</row>
    <row r="1136" spans="1:39" s="4" customFormat="1" ht="23.25">
      <c r="A1136" s="5"/>
      <c r="B1136" s="207"/>
      <c r="C1136" s="201"/>
      <c r="D1136" s="201"/>
      <c r="E1136" s="201"/>
      <c r="F1136" s="201"/>
      <c r="G1136" s="117"/>
      <c r="H1136" s="103"/>
      <c r="I1136" s="103"/>
      <c r="J1136" s="103"/>
      <c r="K1136" s="103"/>
      <c r="L1136" s="103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</row>
    <row r="1137" spans="1:39" s="4" customFormat="1" ht="23.25">
      <c r="A1137" s="5"/>
      <c r="B1137" s="207"/>
      <c r="C1137" s="201"/>
      <c r="D1137" s="201"/>
      <c r="E1137" s="201"/>
      <c r="F1137" s="201"/>
      <c r="G1137" s="117"/>
      <c r="H1137" s="103"/>
      <c r="I1137" s="103"/>
      <c r="J1137" s="103"/>
      <c r="K1137" s="103"/>
      <c r="L1137" s="103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</row>
    <row r="1138" spans="1:39" s="4" customFormat="1" ht="23.25">
      <c r="A1138" s="5"/>
      <c r="B1138" s="207"/>
      <c r="C1138" s="201"/>
      <c r="D1138" s="201"/>
      <c r="E1138" s="201"/>
      <c r="F1138" s="201"/>
      <c r="G1138" s="117"/>
      <c r="H1138" s="103"/>
      <c r="I1138" s="103"/>
      <c r="J1138" s="103"/>
      <c r="K1138" s="103"/>
      <c r="L1138" s="103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</row>
    <row r="1139" spans="1:39" s="4" customFormat="1" ht="23.25">
      <c r="A1139" s="5"/>
      <c r="B1139" s="207"/>
      <c r="C1139" s="201"/>
      <c r="D1139" s="201"/>
      <c r="E1139" s="201"/>
      <c r="F1139" s="201"/>
      <c r="G1139" s="117"/>
      <c r="H1139" s="103"/>
      <c r="I1139" s="103"/>
      <c r="J1139" s="103"/>
      <c r="K1139" s="103"/>
      <c r="L1139" s="103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</row>
    <row r="1140" spans="1:39" s="4" customFormat="1" ht="23.25">
      <c r="A1140" s="5"/>
      <c r="B1140" s="207"/>
      <c r="C1140" s="201"/>
      <c r="D1140" s="201"/>
      <c r="E1140" s="201"/>
      <c r="F1140" s="201"/>
      <c r="G1140" s="117"/>
      <c r="H1140" s="103"/>
      <c r="I1140" s="103"/>
      <c r="J1140" s="103"/>
      <c r="K1140" s="103"/>
      <c r="L1140" s="103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</row>
    <row r="1141" spans="1:39" s="4" customFormat="1" ht="23.25">
      <c r="A1141" s="5"/>
      <c r="B1141" s="207"/>
      <c r="C1141" s="201"/>
      <c r="D1141" s="201"/>
      <c r="E1141" s="201"/>
      <c r="F1141" s="201"/>
      <c r="G1141" s="117"/>
      <c r="H1141" s="103"/>
      <c r="I1141" s="103"/>
      <c r="J1141" s="103"/>
      <c r="K1141" s="103"/>
      <c r="L1141" s="103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</row>
    <row r="1142" spans="1:39" s="4" customFormat="1" ht="23.25">
      <c r="A1142" s="5"/>
      <c r="B1142" s="207"/>
      <c r="C1142" s="201"/>
      <c r="D1142" s="201"/>
      <c r="E1142" s="201"/>
      <c r="F1142" s="201"/>
      <c r="G1142" s="117"/>
      <c r="H1142" s="103"/>
      <c r="I1142" s="103"/>
      <c r="J1142" s="103"/>
      <c r="K1142" s="103"/>
      <c r="L1142" s="103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</row>
    <row r="1143" spans="1:39" s="4" customFormat="1" ht="23.25">
      <c r="A1143" s="5"/>
      <c r="B1143" s="207"/>
      <c r="C1143" s="201"/>
      <c r="D1143" s="201"/>
      <c r="E1143" s="201"/>
      <c r="F1143" s="201"/>
      <c r="G1143" s="117"/>
      <c r="H1143" s="103"/>
      <c r="I1143" s="103"/>
      <c r="J1143" s="103"/>
      <c r="K1143" s="103"/>
      <c r="L1143" s="10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</row>
    <row r="1144" spans="1:39" s="4" customFormat="1" ht="23.25">
      <c r="A1144" s="5"/>
      <c r="B1144" s="207"/>
      <c r="C1144" s="201"/>
      <c r="D1144" s="201"/>
      <c r="E1144" s="201"/>
      <c r="F1144" s="201"/>
      <c r="G1144" s="117"/>
      <c r="H1144" s="103"/>
      <c r="I1144" s="103"/>
      <c r="J1144" s="103"/>
      <c r="K1144" s="103"/>
      <c r="L1144" s="103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</row>
    <row r="1145" spans="1:39" s="4" customFormat="1" ht="23.25">
      <c r="A1145" s="5"/>
      <c r="B1145" s="207"/>
      <c r="C1145" s="201"/>
      <c r="D1145" s="201"/>
      <c r="E1145" s="201"/>
      <c r="F1145" s="201"/>
      <c r="G1145" s="117"/>
      <c r="H1145" s="103"/>
      <c r="I1145" s="103"/>
      <c r="J1145" s="103"/>
      <c r="K1145" s="103"/>
      <c r="L1145" s="103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</row>
    <row r="1146" spans="1:39" s="4" customFormat="1" ht="23.25">
      <c r="A1146" s="5"/>
      <c r="B1146" s="207"/>
      <c r="C1146" s="201"/>
      <c r="D1146" s="201"/>
      <c r="E1146" s="201"/>
      <c r="F1146" s="201"/>
      <c r="G1146" s="117"/>
      <c r="H1146" s="103"/>
      <c r="I1146" s="103"/>
      <c r="J1146" s="103"/>
      <c r="K1146" s="103"/>
      <c r="L1146" s="103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</row>
    <row r="1147" spans="1:39" s="4" customFormat="1" ht="23.25">
      <c r="A1147" s="5"/>
      <c r="B1147" s="207"/>
      <c r="C1147" s="201"/>
      <c r="D1147" s="201"/>
      <c r="E1147" s="201"/>
      <c r="F1147" s="201"/>
      <c r="G1147" s="117"/>
      <c r="H1147" s="103"/>
      <c r="I1147" s="103"/>
      <c r="J1147" s="103"/>
      <c r="K1147" s="103"/>
      <c r="L1147" s="103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</row>
    <row r="1148" spans="1:39" s="4" customFormat="1" ht="23.25">
      <c r="A1148" s="5"/>
      <c r="B1148" s="207"/>
      <c r="C1148" s="201"/>
      <c r="D1148" s="201"/>
      <c r="E1148" s="201"/>
      <c r="F1148" s="201"/>
      <c r="G1148" s="117"/>
      <c r="H1148" s="103"/>
      <c r="I1148" s="103"/>
      <c r="J1148" s="103"/>
      <c r="K1148" s="103"/>
      <c r="L1148" s="103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</row>
    <row r="1149" spans="1:39" s="4" customFormat="1" ht="23.25">
      <c r="A1149" s="5"/>
      <c r="B1149" s="207"/>
      <c r="C1149" s="201"/>
      <c r="D1149" s="201"/>
      <c r="E1149" s="201"/>
      <c r="F1149" s="201"/>
      <c r="G1149" s="117"/>
      <c r="H1149" s="103"/>
      <c r="I1149" s="103"/>
      <c r="J1149" s="103"/>
      <c r="K1149" s="103"/>
      <c r="L1149" s="103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</row>
    <row r="1150" spans="1:39" s="4" customFormat="1" ht="23.25">
      <c r="A1150" s="5"/>
      <c r="B1150" s="207"/>
      <c r="C1150" s="201"/>
      <c r="D1150" s="201"/>
      <c r="E1150" s="201"/>
      <c r="F1150" s="201"/>
      <c r="G1150" s="117"/>
      <c r="H1150" s="103"/>
      <c r="I1150" s="103"/>
      <c r="J1150" s="103"/>
      <c r="K1150" s="103"/>
      <c r="L1150" s="103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</row>
    <row r="1151" spans="1:39" s="4" customFormat="1" ht="23.25">
      <c r="A1151" s="5"/>
      <c r="B1151" s="207"/>
      <c r="C1151" s="201"/>
      <c r="D1151" s="201"/>
      <c r="E1151" s="201"/>
      <c r="F1151" s="201"/>
      <c r="G1151" s="117"/>
      <c r="H1151" s="103"/>
      <c r="I1151" s="103"/>
      <c r="J1151" s="103"/>
      <c r="K1151" s="103"/>
      <c r="L1151" s="103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</row>
    <row r="1152" spans="1:39" s="4" customFormat="1" ht="23.25">
      <c r="A1152" s="5"/>
      <c r="B1152" s="207"/>
      <c r="C1152" s="201"/>
      <c r="D1152" s="201"/>
      <c r="E1152" s="201"/>
      <c r="F1152" s="201"/>
      <c r="G1152" s="117"/>
      <c r="H1152" s="103"/>
      <c r="I1152" s="103"/>
      <c r="J1152" s="103"/>
      <c r="K1152" s="103"/>
      <c r="L1152" s="103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</row>
    <row r="1153" spans="1:39" s="4" customFormat="1" ht="23.25">
      <c r="A1153" s="5"/>
      <c r="B1153" s="207"/>
      <c r="C1153" s="201"/>
      <c r="D1153" s="201"/>
      <c r="E1153" s="201"/>
      <c r="F1153" s="201"/>
      <c r="G1153" s="117"/>
      <c r="H1153" s="103"/>
      <c r="I1153" s="103"/>
      <c r="J1153" s="103"/>
      <c r="K1153" s="103"/>
      <c r="L1153" s="10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</row>
    <row r="1154" spans="1:39" s="4" customFormat="1" ht="23.25">
      <c r="A1154" s="5"/>
      <c r="B1154" s="207"/>
      <c r="C1154" s="201"/>
      <c r="D1154" s="201"/>
      <c r="E1154" s="201"/>
      <c r="F1154" s="201"/>
      <c r="G1154" s="117"/>
      <c r="H1154" s="103"/>
      <c r="I1154" s="103"/>
      <c r="J1154" s="103"/>
      <c r="K1154" s="103"/>
      <c r="L1154" s="103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</row>
    <row r="1155" spans="1:39" s="4" customFormat="1" ht="23.25">
      <c r="A1155" s="5"/>
      <c r="B1155" s="207"/>
      <c r="C1155" s="201"/>
      <c r="D1155" s="201"/>
      <c r="E1155" s="201"/>
      <c r="F1155" s="147"/>
      <c r="G1155" s="117"/>
      <c r="H1155" s="103"/>
      <c r="I1155" s="103"/>
      <c r="J1155" s="103"/>
      <c r="K1155" s="103"/>
      <c r="L1155" s="103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</row>
    <row r="1156" spans="1:39" ht="23.25">
      <c r="B1156" s="207"/>
      <c r="C1156" s="201"/>
      <c r="D1156" s="152"/>
      <c r="E1156" s="155"/>
      <c r="F1156" s="147"/>
      <c r="G1156" s="117"/>
      <c r="H1156" s="103"/>
      <c r="I1156" s="103"/>
      <c r="J1156" s="103"/>
      <c r="K1156" s="103"/>
      <c r="L1156" s="103"/>
    </row>
    <row r="1157" spans="1:39" s="4" customFormat="1" ht="23.25">
      <c r="A1157" s="5"/>
      <c r="B1157" s="207"/>
      <c r="C1157" s="201"/>
      <c r="D1157" s="201"/>
      <c r="E1157" s="201"/>
      <c r="F1157" s="147"/>
      <c r="G1157" s="117"/>
      <c r="H1157" s="103"/>
      <c r="I1157" s="103"/>
      <c r="J1157" s="103"/>
      <c r="K1157" s="103"/>
      <c r="L1157" s="103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</row>
    <row r="1158" spans="1:39" s="4" customFormat="1" ht="23.25">
      <c r="A1158" s="5"/>
      <c r="B1158" s="207"/>
      <c r="C1158" s="201"/>
      <c r="D1158" s="201"/>
      <c r="E1158" s="201"/>
      <c r="F1158" s="201"/>
      <c r="G1158" s="117"/>
      <c r="H1158" s="103"/>
      <c r="I1158" s="103"/>
      <c r="J1158" s="103"/>
      <c r="K1158" s="103"/>
      <c r="L1158" s="103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</row>
    <row r="1159" spans="1:39" s="4" customFormat="1" ht="23.25">
      <c r="A1159" s="5"/>
      <c r="B1159" s="207"/>
      <c r="C1159" s="201"/>
      <c r="D1159" s="201"/>
      <c r="E1159" s="201"/>
      <c r="F1159" s="201"/>
      <c r="G1159" s="117"/>
      <c r="H1159" s="103"/>
      <c r="I1159" s="103"/>
      <c r="J1159" s="103"/>
      <c r="K1159" s="103"/>
      <c r="L1159" s="103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</row>
    <row r="1160" spans="1:39" s="4" customFormat="1" ht="23.25">
      <c r="A1160" s="5"/>
      <c r="B1160" s="207"/>
      <c r="C1160" s="201"/>
      <c r="D1160" s="201"/>
      <c r="E1160" s="201"/>
      <c r="F1160" s="201"/>
      <c r="G1160" s="117"/>
      <c r="H1160" s="103"/>
      <c r="I1160" s="103"/>
      <c r="J1160" s="103"/>
      <c r="K1160" s="103"/>
      <c r="L1160" s="103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</row>
    <row r="1161" spans="1:39" s="4" customFormat="1" ht="23.25">
      <c r="A1161" s="5"/>
      <c r="B1161" s="207"/>
      <c r="C1161" s="201"/>
      <c r="D1161" s="201"/>
      <c r="E1161" s="201"/>
      <c r="F1161" s="201"/>
      <c r="G1161" s="117"/>
      <c r="H1161" s="103"/>
      <c r="I1161" s="103"/>
      <c r="J1161" s="103"/>
      <c r="K1161" s="103"/>
      <c r="L1161" s="103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</row>
    <row r="1162" spans="1:39" s="4" customFormat="1" ht="23.25">
      <c r="A1162" s="5"/>
      <c r="B1162" s="207"/>
      <c r="C1162" s="201"/>
      <c r="D1162" s="201"/>
      <c r="E1162" s="201"/>
      <c r="F1162" s="201"/>
      <c r="G1162" s="117"/>
      <c r="H1162" s="103"/>
      <c r="I1162" s="103"/>
      <c r="J1162" s="103"/>
      <c r="K1162" s="103"/>
      <c r="L1162" s="103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</row>
    <row r="1163" spans="1:39" s="4" customFormat="1" ht="23.25">
      <c r="A1163" s="5"/>
      <c r="B1163" s="207"/>
      <c r="C1163" s="201"/>
      <c r="D1163" s="201"/>
      <c r="E1163" s="201"/>
      <c r="F1163" s="201"/>
      <c r="G1163" s="117"/>
      <c r="H1163" s="103"/>
      <c r="I1163" s="103"/>
      <c r="J1163" s="103"/>
      <c r="K1163" s="103"/>
      <c r="L1163" s="10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</row>
    <row r="1164" spans="1:39" s="4" customFormat="1" ht="23.25">
      <c r="A1164" s="5"/>
      <c r="B1164" s="207"/>
      <c r="C1164" s="201"/>
      <c r="D1164" s="201"/>
      <c r="E1164" s="201"/>
      <c r="F1164" s="201"/>
      <c r="G1164" s="117"/>
      <c r="H1164" s="103"/>
      <c r="I1164" s="103"/>
      <c r="J1164" s="103"/>
      <c r="K1164" s="103"/>
      <c r="L1164" s="103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</row>
    <row r="1165" spans="1:39" s="4" customFormat="1" ht="23.25">
      <c r="A1165" s="5"/>
      <c r="B1165" s="207"/>
      <c r="C1165" s="201"/>
      <c r="D1165" s="201"/>
      <c r="E1165" s="201"/>
      <c r="F1165" s="201"/>
      <c r="G1165" s="117"/>
      <c r="H1165" s="103"/>
      <c r="I1165" s="103"/>
      <c r="J1165" s="103"/>
      <c r="K1165" s="103"/>
      <c r="L1165" s="103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</row>
    <row r="1166" spans="1:39" ht="23.25">
      <c r="B1166" s="207"/>
      <c r="C1166" s="201"/>
      <c r="D1166" s="152"/>
      <c r="E1166" s="155"/>
      <c r="F1166" s="154"/>
      <c r="G1166" s="117"/>
      <c r="H1166" s="103"/>
      <c r="I1166" s="103"/>
      <c r="J1166" s="103"/>
      <c r="K1166" s="103"/>
      <c r="L1166" s="103"/>
    </row>
    <row r="1167" spans="1:39" ht="23.25">
      <c r="B1167" s="207"/>
      <c r="C1167" s="201"/>
      <c r="D1167" s="152"/>
      <c r="E1167" s="155"/>
      <c r="F1167" s="154"/>
      <c r="G1167" s="117"/>
      <c r="H1167" s="103"/>
      <c r="I1167" s="103"/>
      <c r="J1167" s="103"/>
      <c r="K1167" s="103"/>
      <c r="L1167" s="103"/>
    </row>
    <row r="1168" spans="1:39" s="4" customFormat="1" ht="23.25">
      <c r="A1168" s="5"/>
      <c r="B1168" s="207"/>
      <c r="C1168" s="201"/>
      <c r="D1168" s="201"/>
      <c r="E1168" s="201"/>
      <c r="F1168" s="201"/>
      <c r="G1168" s="117"/>
      <c r="H1168" s="103"/>
      <c r="I1168" s="103"/>
      <c r="J1168" s="103"/>
      <c r="K1168" s="103"/>
      <c r="L1168" s="103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</row>
    <row r="1169" spans="1:39" s="4" customFormat="1" ht="23.25">
      <c r="A1169" s="5"/>
      <c r="B1169" s="207"/>
      <c r="C1169" s="201"/>
      <c r="D1169" s="201"/>
      <c r="E1169" s="201"/>
      <c r="F1169" s="201"/>
      <c r="G1169" s="117"/>
      <c r="H1169" s="103"/>
      <c r="I1169" s="103"/>
      <c r="J1169" s="103"/>
      <c r="K1169" s="103"/>
      <c r="L1169" s="103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</row>
    <row r="1170" spans="1:39" s="4" customFormat="1" ht="23.25">
      <c r="A1170" s="5"/>
      <c r="B1170" s="207"/>
      <c r="C1170" s="201"/>
      <c r="D1170" s="201"/>
      <c r="E1170" s="201"/>
      <c r="F1170" s="201"/>
      <c r="G1170" s="117"/>
      <c r="H1170" s="103"/>
      <c r="I1170" s="103"/>
      <c r="J1170" s="103"/>
      <c r="K1170" s="103"/>
      <c r="L1170" s="103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</row>
    <row r="1171" spans="1:39" ht="45" customHeight="1">
      <c r="B1171" s="207"/>
      <c r="C1171" s="201"/>
      <c r="D1171" s="152"/>
      <c r="E1171" s="155"/>
      <c r="F1171" s="154"/>
      <c r="G1171" s="117"/>
      <c r="H1171" s="103"/>
      <c r="I1171" s="103"/>
      <c r="J1171" s="103"/>
      <c r="K1171" s="103"/>
      <c r="L1171" s="103"/>
    </row>
    <row r="1172" spans="1:39" s="5" customFormat="1" ht="23.25">
      <c r="B1172" s="207"/>
      <c r="C1172" s="201"/>
      <c r="D1172" s="201"/>
      <c r="E1172" s="201"/>
      <c r="F1172" s="201"/>
      <c r="G1172" s="117"/>
      <c r="H1172" s="103"/>
      <c r="I1172" s="103"/>
      <c r="J1172" s="103"/>
      <c r="K1172" s="103"/>
      <c r="L1172" s="103"/>
    </row>
    <row r="1173" spans="1:39" s="5" customFormat="1" ht="15.75" customHeight="1">
      <c r="B1173" s="207"/>
      <c r="C1173" s="201"/>
      <c r="D1173" s="201"/>
      <c r="E1173" s="201"/>
      <c r="F1173" s="201"/>
      <c r="G1173" s="117"/>
      <c r="H1173" s="103"/>
      <c r="I1173" s="103"/>
      <c r="J1173" s="103"/>
      <c r="K1173" s="103"/>
      <c r="L1173" s="103"/>
    </row>
    <row r="1174" spans="1:39" s="5" customFormat="1" ht="15.75" customHeight="1">
      <c r="B1174" s="207"/>
      <c r="C1174" s="201"/>
      <c r="D1174" s="201"/>
      <c r="E1174" s="201"/>
      <c r="F1174" s="201"/>
      <c r="G1174" s="117"/>
      <c r="H1174" s="103"/>
      <c r="I1174" s="103"/>
      <c r="J1174" s="103"/>
      <c r="K1174" s="103"/>
      <c r="L1174" s="103"/>
    </row>
    <row r="1175" spans="1:39" s="5" customFormat="1" ht="15.75" customHeight="1">
      <c r="B1175" s="207"/>
      <c r="C1175" s="201"/>
      <c r="D1175" s="201"/>
      <c r="E1175" s="201"/>
      <c r="F1175" s="201"/>
      <c r="G1175" s="117"/>
      <c r="H1175" s="103"/>
      <c r="I1175" s="103"/>
      <c r="J1175" s="103"/>
      <c r="K1175" s="103"/>
      <c r="L1175" s="103"/>
    </row>
    <row r="1176" spans="1:39" s="5" customFormat="1" ht="15.75" customHeight="1">
      <c r="B1176" s="207"/>
      <c r="C1176" s="201"/>
      <c r="D1176" s="201"/>
      <c r="E1176" s="201"/>
      <c r="F1176" s="201"/>
      <c r="G1176" s="117"/>
      <c r="H1176" s="103"/>
      <c r="I1176" s="103"/>
      <c r="J1176" s="103"/>
      <c r="K1176" s="103"/>
      <c r="L1176" s="103"/>
    </row>
    <row r="1177" spans="1:39" s="5" customFormat="1" ht="15.75" customHeight="1">
      <c r="B1177" s="207"/>
      <c r="C1177" s="201"/>
      <c r="D1177" s="201"/>
      <c r="E1177" s="201"/>
      <c r="F1177" s="201"/>
      <c r="G1177" s="117"/>
      <c r="H1177" s="103"/>
      <c r="I1177" s="103"/>
      <c r="J1177" s="103"/>
      <c r="K1177" s="103"/>
      <c r="L1177" s="103"/>
    </row>
    <row r="1178" spans="1:39" s="5" customFormat="1" ht="15.75" customHeight="1">
      <c r="B1178" s="207"/>
      <c r="C1178" s="201"/>
      <c r="D1178" s="201"/>
      <c r="E1178" s="201"/>
      <c r="F1178" s="201"/>
      <c r="G1178" s="117"/>
      <c r="H1178" s="103"/>
      <c r="I1178" s="103"/>
      <c r="J1178" s="103"/>
      <c r="K1178" s="103"/>
      <c r="L1178" s="103"/>
    </row>
    <row r="1179" spans="1:39" s="5" customFormat="1" ht="23.25">
      <c r="B1179" s="207"/>
      <c r="C1179" s="201"/>
      <c r="D1179" s="201"/>
      <c r="E1179" s="201"/>
      <c r="F1179" s="201"/>
      <c r="G1179" s="117"/>
      <c r="H1179" s="103"/>
      <c r="I1179" s="103"/>
      <c r="J1179" s="103"/>
      <c r="K1179" s="103"/>
      <c r="L1179" s="103"/>
    </row>
    <row r="1180" spans="1:39" s="5" customFormat="1" ht="23.25">
      <c r="B1180" s="207"/>
      <c r="C1180" s="201"/>
      <c r="D1180" s="201"/>
      <c r="E1180" s="201"/>
      <c r="F1180" s="201"/>
      <c r="G1180" s="117"/>
      <c r="H1180" s="103"/>
      <c r="I1180" s="103"/>
      <c r="J1180" s="103"/>
      <c r="K1180" s="103"/>
      <c r="L1180" s="103"/>
    </row>
    <row r="1181" spans="1:39" s="5" customFormat="1" ht="23.25">
      <c r="B1181" s="207"/>
      <c r="C1181" s="201"/>
      <c r="D1181" s="201"/>
      <c r="E1181" s="201"/>
      <c r="F1181" s="201"/>
      <c r="G1181" s="117"/>
      <c r="H1181" s="103"/>
      <c r="I1181" s="103"/>
      <c r="J1181" s="103"/>
      <c r="K1181" s="103"/>
      <c r="L1181" s="103"/>
    </row>
    <row r="1182" spans="1:39" s="5" customFormat="1" ht="23.25">
      <c r="B1182" s="207"/>
      <c r="C1182" s="201"/>
      <c r="D1182" s="201"/>
      <c r="E1182" s="201"/>
      <c r="F1182" s="201"/>
      <c r="G1182" s="117"/>
      <c r="H1182" s="103"/>
      <c r="I1182" s="103"/>
      <c r="J1182" s="103"/>
      <c r="K1182" s="103"/>
      <c r="L1182" s="103"/>
    </row>
    <row r="1183" spans="1:39" ht="23.25">
      <c r="B1183" s="207"/>
      <c r="C1183" s="201"/>
      <c r="D1183" s="152"/>
      <c r="E1183" s="155"/>
      <c r="F1183" s="154"/>
      <c r="G1183" s="117"/>
      <c r="H1183" s="103"/>
      <c r="I1183" s="103"/>
      <c r="J1183" s="103"/>
      <c r="K1183" s="103"/>
      <c r="L1183" s="103"/>
    </row>
    <row r="1184" spans="1:39" s="5" customFormat="1" ht="23.25">
      <c r="B1184" s="207"/>
      <c r="C1184" s="201"/>
      <c r="D1184" s="201"/>
      <c r="E1184" s="201"/>
      <c r="F1184" s="201"/>
      <c r="G1184" s="117"/>
      <c r="H1184" s="103"/>
      <c r="I1184" s="103"/>
      <c r="J1184" s="103"/>
      <c r="K1184" s="103"/>
      <c r="L1184" s="103"/>
    </row>
    <row r="1185" spans="2:12" ht="23.25">
      <c r="B1185" s="207"/>
      <c r="C1185" s="201"/>
      <c r="D1185" s="152"/>
      <c r="E1185" s="155"/>
      <c r="F1185" s="154"/>
      <c r="G1185" s="117"/>
      <c r="H1185" s="103"/>
      <c r="I1185" s="103"/>
      <c r="J1185" s="103"/>
      <c r="K1185" s="103"/>
      <c r="L1185" s="103"/>
    </row>
    <row r="1186" spans="2:12" ht="23.25">
      <c r="B1186" s="207"/>
      <c r="C1186" s="201"/>
      <c r="D1186" s="152"/>
      <c r="E1186" s="155"/>
      <c r="F1186" s="154"/>
      <c r="G1186" s="117"/>
      <c r="H1186" s="103"/>
      <c r="I1186" s="103"/>
      <c r="J1186" s="103"/>
      <c r="K1186" s="103"/>
      <c r="L1186" s="103"/>
    </row>
    <row r="1187" spans="2:12" ht="23.25">
      <c r="B1187" s="207"/>
      <c r="C1187" s="201"/>
      <c r="D1187" s="152"/>
      <c r="E1187" s="155"/>
      <c r="F1187" s="154"/>
      <c r="G1187" s="117"/>
      <c r="H1187" s="103"/>
      <c r="I1187" s="103"/>
      <c r="J1187" s="103"/>
      <c r="K1187" s="103"/>
      <c r="L1187" s="103"/>
    </row>
    <row r="1188" spans="2:12" s="5" customFormat="1" ht="23.25">
      <c r="B1188" s="207"/>
      <c r="C1188" s="201"/>
      <c r="D1188" s="201"/>
      <c r="E1188" s="201"/>
      <c r="F1188" s="201"/>
      <c r="G1188" s="117"/>
      <c r="H1188" s="103"/>
      <c r="I1188" s="103"/>
      <c r="J1188" s="103"/>
      <c r="K1188" s="103"/>
      <c r="L1188" s="103"/>
    </row>
    <row r="1189" spans="2:12" s="5" customFormat="1" ht="23.25">
      <c r="B1189" s="207"/>
      <c r="C1189" s="201"/>
      <c r="D1189" s="201"/>
      <c r="E1189" s="201"/>
      <c r="F1189" s="201"/>
      <c r="G1189" s="117"/>
      <c r="H1189" s="103"/>
      <c r="I1189" s="103"/>
      <c r="J1189" s="103"/>
      <c r="K1189" s="103"/>
      <c r="L1189" s="103"/>
    </row>
    <row r="1190" spans="2:12" ht="23.25">
      <c r="B1190" s="207"/>
      <c r="C1190" s="201"/>
      <c r="D1190" s="152"/>
      <c r="E1190" s="155"/>
      <c r="F1190" s="154"/>
      <c r="G1190" s="117"/>
      <c r="H1190" s="103"/>
      <c r="I1190" s="103"/>
      <c r="J1190" s="103"/>
      <c r="K1190" s="103"/>
      <c r="L1190" s="103"/>
    </row>
    <row r="1191" spans="2:12" ht="23.25">
      <c r="B1191" s="207"/>
      <c r="C1191" s="201"/>
      <c r="D1191" s="152"/>
      <c r="E1191" s="155"/>
      <c r="F1191" s="154"/>
      <c r="G1191" s="117"/>
      <c r="H1191" s="103"/>
      <c r="I1191" s="103"/>
      <c r="J1191" s="103"/>
      <c r="K1191" s="103"/>
      <c r="L1191" s="103"/>
    </row>
    <row r="1192" spans="2:12" ht="23.25">
      <c r="B1192" s="207"/>
      <c r="C1192" s="201"/>
      <c r="D1192" s="152"/>
      <c r="E1192" s="155"/>
      <c r="F1192" s="154"/>
      <c r="G1192" s="117"/>
      <c r="H1192" s="103"/>
      <c r="I1192" s="103"/>
      <c r="J1192" s="103"/>
      <c r="K1192" s="103"/>
      <c r="L1192" s="103"/>
    </row>
    <row r="1193" spans="2:12" ht="23.25">
      <c r="B1193" s="207"/>
      <c r="C1193" s="201"/>
      <c r="D1193" s="152"/>
      <c r="E1193" s="155"/>
      <c r="F1193" s="154"/>
      <c r="G1193" s="117"/>
      <c r="H1193" s="103"/>
      <c r="I1193" s="103"/>
      <c r="J1193" s="103"/>
      <c r="K1193" s="103"/>
      <c r="L1193" s="103"/>
    </row>
    <row r="1194" spans="2:12" ht="23.25">
      <c r="B1194" s="207"/>
      <c r="C1194" s="201"/>
      <c r="D1194" s="152"/>
      <c r="E1194" s="155"/>
      <c r="F1194" s="154"/>
      <c r="G1194" s="117"/>
      <c r="H1194" s="103"/>
      <c r="I1194" s="103"/>
      <c r="J1194" s="103"/>
      <c r="K1194" s="103"/>
      <c r="L1194" s="103"/>
    </row>
    <row r="1195" spans="2:12" ht="23.25">
      <c r="B1195" s="207"/>
      <c r="C1195" s="201"/>
      <c r="D1195" s="152"/>
      <c r="E1195" s="155"/>
      <c r="F1195" s="154"/>
      <c r="G1195" s="117"/>
      <c r="H1195" s="103"/>
      <c r="I1195" s="103"/>
      <c r="J1195" s="103"/>
      <c r="K1195" s="103"/>
      <c r="L1195" s="103"/>
    </row>
    <row r="1196" spans="2:12" ht="23.25">
      <c r="B1196" s="207"/>
      <c r="C1196" s="201"/>
      <c r="D1196" s="152"/>
      <c r="E1196" s="155"/>
      <c r="F1196" s="154"/>
      <c r="G1196" s="117"/>
      <c r="H1196" s="103"/>
      <c r="I1196" s="103"/>
      <c r="J1196" s="103"/>
      <c r="K1196" s="103"/>
      <c r="L1196" s="103"/>
    </row>
    <row r="1197" spans="2:12" ht="23.25">
      <c r="B1197" s="207"/>
      <c r="C1197" s="201"/>
      <c r="D1197" s="152"/>
      <c r="E1197" s="155"/>
      <c r="F1197" s="154"/>
      <c r="G1197" s="117"/>
      <c r="H1197" s="103"/>
      <c r="I1197" s="103"/>
      <c r="J1197" s="103"/>
      <c r="K1197" s="103"/>
      <c r="L1197" s="103"/>
    </row>
    <row r="1198" spans="2:12" ht="23.25">
      <c r="B1198" s="207"/>
      <c r="C1198" s="201"/>
      <c r="D1198" s="152"/>
      <c r="E1198" s="155"/>
      <c r="F1198" s="154"/>
      <c r="G1198" s="117"/>
      <c r="H1198" s="103"/>
      <c r="I1198" s="103"/>
      <c r="J1198" s="103"/>
      <c r="K1198" s="103"/>
      <c r="L1198" s="103"/>
    </row>
    <row r="1199" spans="2:12" ht="23.25">
      <c r="B1199" s="207"/>
      <c r="C1199" s="201"/>
      <c r="D1199" s="152"/>
      <c r="E1199" s="155"/>
      <c r="F1199" s="154"/>
      <c r="G1199" s="117"/>
      <c r="H1199" s="103"/>
      <c r="I1199" s="103"/>
      <c r="J1199" s="103"/>
      <c r="K1199" s="103"/>
      <c r="L1199" s="103"/>
    </row>
    <row r="1200" spans="2:12" ht="23.25">
      <c r="B1200" s="207"/>
      <c r="C1200" s="201"/>
      <c r="D1200" s="152"/>
      <c r="E1200" s="155"/>
      <c r="F1200" s="154"/>
      <c r="G1200" s="117"/>
      <c r="H1200" s="103"/>
      <c r="I1200" s="103"/>
      <c r="J1200" s="103"/>
      <c r="K1200" s="103"/>
      <c r="L1200" s="103"/>
    </row>
    <row r="1201" spans="2:12" ht="23.25">
      <c r="B1201" s="207"/>
      <c r="C1201" s="201"/>
      <c r="D1201" s="152"/>
      <c r="E1201" s="155"/>
      <c r="F1201" s="154"/>
      <c r="G1201" s="117"/>
      <c r="H1201" s="103"/>
      <c r="I1201" s="103"/>
      <c r="J1201" s="103"/>
      <c r="K1201" s="103"/>
      <c r="L1201" s="103"/>
    </row>
    <row r="1202" spans="2:12" ht="23.25">
      <c r="B1202" s="207"/>
      <c r="C1202" s="201"/>
      <c r="D1202" s="152"/>
      <c r="E1202" s="155"/>
      <c r="F1202" s="154"/>
      <c r="G1202" s="117"/>
      <c r="H1202" s="103"/>
      <c r="I1202" s="103"/>
      <c r="J1202" s="103"/>
      <c r="K1202" s="103"/>
      <c r="L1202" s="103"/>
    </row>
    <row r="1203" spans="2:12" ht="23.25">
      <c r="B1203" s="207"/>
      <c r="C1203" s="201"/>
      <c r="D1203" s="152"/>
      <c r="E1203" s="155"/>
      <c r="F1203" s="154"/>
      <c r="G1203" s="117"/>
      <c r="H1203" s="103"/>
      <c r="I1203" s="103"/>
      <c r="J1203" s="103"/>
      <c r="K1203" s="103"/>
      <c r="L1203" s="103"/>
    </row>
    <row r="1204" spans="2:12" ht="23.25">
      <c r="B1204" s="207"/>
      <c r="C1204" s="201"/>
      <c r="D1204" s="152"/>
      <c r="E1204" s="155"/>
      <c r="F1204" s="154"/>
      <c r="G1204" s="117"/>
      <c r="H1204" s="103"/>
      <c r="I1204" s="103"/>
      <c r="J1204" s="103"/>
      <c r="K1204" s="103"/>
      <c r="L1204" s="103"/>
    </row>
    <row r="1205" spans="2:12" ht="23.25">
      <c r="B1205" s="207"/>
      <c r="C1205" s="201"/>
      <c r="D1205" s="152"/>
      <c r="E1205" s="155"/>
      <c r="F1205" s="154"/>
      <c r="G1205" s="117"/>
      <c r="H1205" s="103"/>
      <c r="I1205" s="103"/>
      <c r="J1205" s="103"/>
      <c r="K1205" s="103"/>
      <c r="L1205" s="103"/>
    </row>
    <row r="1206" spans="2:12" ht="23.25">
      <c r="B1206" s="207"/>
      <c r="C1206" s="201"/>
      <c r="D1206" s="152"/>
      <c r="E1206" s="155"/>
      <c r="F1206" s="154"/>
      <c r="G1206" s="117"/>
      <c r="H1206" s="103"/>
      <c r="I1206" s="103"/>
      <c r="J1206" s="103"/>
      <c r="K1206" s="103"/>
      <c r="L1206" s="103"/>
    </row>
    <row r="1207" spans="2:12" ht="23.25">
      <c r="B1207" s="207"/>
      <c r="C1207" s="201"/>
      <c r="D1207" s="152"/>
      <c r="E1207" s="155"/>
      <c r="F1207" s="154"/>
      <c r="G1207" s="117"/>
      <c r="H1207" s="103"/>
      <c r="I1207" s="103"/>
      <c r="J1207" s="103"/>
      <c r="K1207" s="103"/>
      <c r="L1207" s="103"/>
    </row>
    <row r="1208" spans="2:12" ht="23.25">
      <c r="B1208" s="207"/>
      <c r="C1208" s="201"/>
      <c r="D1208" s="152"/>
      <c r="E1208" s="155"/>
      <c r="F1208" s="154"/>
      <c r="G1208" s="117"/>
      <c r="H1208" s="103"/>
      <c r="I1208" s="103"/>
      <c r="J1208" s="103"/>
      <c r="K1208" s="103"/>
      <c r="L1208" s="103"/>
    </row>
    <row r="1209" spans="2:12" ht="23.25">
      <c r="B1209" s="207"/>
      <c r="C1209" s="201"/>
      <c r="D1209" s="152"/>
      <c r="E1209" s="155"/>
      <c r="F1209" s="154"/>
      <c r="G1209" s="117"/>
      <c r="H1209" s="103"/>
      <c r="I1209" s="103"/>
      <c r="J1209" s="103"/>
      <c r="K1209" s="103"/>
      <c r="L1209" s="103"/>
    </row>
    <row r="1210" spans="2:12" ht="23.25">
      <c r="B1210" s="207"/>
      <c r="C1210" s="201"/>
      <c r="D1210" s="152"/>
      <c r="E1210" s="155"/>
      <c r="F1210" s="154"/>
      <c r="G1210" s="117"/>
      <c r="H1210" s="103"/>
      <c r="I1210" s="103"/>
      <c r="J1210" s="103"/>
      <c r="K1210" s="103"/>
      <c r="L1210" s="103"/>
    </row>
    <row r="1211" spans="2:12" ht="23.25">
      <c r="B1211" s="207"/>
      <c r="C1211" s="201"/>
      <c r="D1211" s="152"/>
      <c r="E1211" s="155"/>
      <c r="F1211" s="154"/>
      <c r="G1211" s="117"/>
      <c r="H1211" s="103"/>
      <c r="I1211" s="103"/>
      <c r="J1211" s="103"/>
      <c r="K1211" s="103"/>
      <c r="L1211" s="103"/>
    </row>
    <row r="1212" spans="2:12" ht="23.25">
      <c r="B1212" s="207"/>
      <c r="C1212" s="201"/>
      <c r="D1212" s="152"/>
      <c r="E1212" s="155"/>
      <c r="F1212" s="154"/>
      <c r="G1212" s="117"/>
      <c r="H1212" s="103"/>
      <c r="I1212" s="103"/>
      <c r="J1212" s="103"/>
      <c r="K1212" s="103"/>
      <c r="L1212" s="103"/>
    </row>
    <row r="1213" spans="2:12" ht="23.25">
      <c r="B1213" s="207"/>
      <c r="C1213" s="201"/>
      <c r="D1213" s="152"/>
      <c r="E1213" s="155"/>
      <c r="F1213" s="154"/>
      <c r="G1213" s="117"/>
      <c r="H1213" s="103"/>
      <c r="I1213" s="103"/>
      <c r="J1213" s="103"/>
      <c r="K1213" s="103"/>
      <c r="L1213" s="103"/>
    </row>
    <row r="1214" spans="2:12" ht="23.25">
      <c r="B1214" s="207"/>
      <c r="C1214" s="201"/>
      <c r="D1214" s="152"/>
      <c r="E1214" s="155"/>
      <c r="F1214" s="154"/>
      <c r="G1214" s="117"/>
      <c r="H1214" s="103"/>
      <c r="I1214" s="103"/>
      <c r="J1214" s="103"/>
      <c r="K1214" s="103"/>
      <c r="L1214" s="103"/>
    </row>
    <row r="1215" spans="2:12" ht="23.25">
      <c r="B1215" s="207"/>
      <c r="C1215" s="201"/>
      <c r="D1215" s="152"/>
      <c r="E1215" s="155"/>
      <c r="F1215" s="154"/>
      <c r="G1215" s="113"/>
      <c r="H1215" s="103"/>
      <c r="I1215" s="103"/>
      <c r="J1215" s="103"/>
      <c r="K1215" s="103"/>
      <c r="L1215" s="103"/>
    </row>
    <row r="1216" spans="2:12" s="111" customFormat="1" ht="23.25">
      <c r="B1216" s="151"/>
      <c r="C1216" s="150"/>
      <c r="D1216" s="150"/>
      <c r="E1216" s="150"/>
      <c r="F1216" s="150"/>
      <c r="G1216" s="105"/>
      <c r="H1216" s="3"/>
      <c r="I1216" s="3"/>
      <c r="J1216" s="3"/>
      <c r="K1216" s="3"/>
      <c r="L1216" s="3"/>
    </row>
    <row r="1217" spans="1:36" ht="23.25">
      <c r="B1217" s="207"/>
      <c r="C1217" s="201"/>
      <c r="D1217" s="152"/>
      <c r="E1217" s="155"/>
      <c r="F1217" s="154"/>
      <c r="G1217" s="113"/>
      <c r="H1217" s="103"/>
      <c r="I1217" s="103"/>
      <c r="J1217" s="103"/>
      <c r="K1217" s="103"/>
      <c r="L1217" s="103"/>
    </row>
    <row r="1218" spans="1:36" ht="23.25">
      <c r="B1218" s="207"/>
      <c r="C1218" s="201"/>
      <c r="D1218" s="152"/>
      <c r="E1218" s="155"/>
      <c r="F1218" s="154"/>
      <c r="G1218" s="113"/>
      <c r="H1218" s="103"/>
      <c r="I1218" s="103"/>
      <c r="J1218" s="103"/>
      <c r="K1218" s="103"/>
      <c r="L1218" s="103"/>
    </row>
    <row r="1219" spans="1:36" ht="23.25">
      <c r="B1219" s="207"/>
      <c r="C1219" s="201"/>
      <c r="D1219" s="152"/>
      <c r="E1219" s="155"/>
      <c r="F1219" s="154"/>
      <c r="G1219" s="113"/>
      <c r="H1219" s="103"/>
      <c r="I1219" s="103"/>
      <c r="J1219" s="103"/>
      <c r="K1219" s="103"/>
      <c r="L1219" s="103"/>
    </row>
    <row r="1220" spans="1:36" ht="23.25">
      <c r="B1220" s="207"/>
      <c r="C1220" s="201"/>
      <c r="D1220" s="152"/>
      <c r="E1220" s="155"/>
      <c r="F1220" s="154"/>
      <c r="G1220" s="113"/>
      <c r="H1220" s="103"/>
      <c r="I1220" s="103"/>
      <c r="J1220" s="103"/>
      <c r="K1220" s="103"/>
      <c r="L1220" s="103"/>
    </row>
    <row r="1221" spans="1:36" ht="23.25">
      <c r="B1221" s="207"/>
      <c r="C1221" s="201"/>
      <c r="D1221" s="152"/>
      <c r="E1221" s="155"/>
      <c r="F1221" s="154"/>
      <c r="G1221" s="113"/>
      <c r="H1221" s="103"/>
      <c r="I1221" s="103"/>
      <c r="J1221" s="103"/>
      <c r="K1221" s="103"/>
      <c r="L1221" s="103"/>
    </row>
    <row r="1222" spans="1:36" ht="23.25">
      <c r="B1222" s="207"/>
      <c r="C1222" s="201"/>
      <c r="D1222" s="152"/>
      <c r="E1222" s="155"/>
      <c r="F1222" s="154"/>
      <c r="G1222" s="113"/>
      <c r="H1222" s="103"/>
      <c r="I1222" s="103"/>
      <c r="J1222" s="103"/>
      <c r="K1222" s="103"/>
      <c r="L1222" s="103"/>
    </row>
    <row r="1223" spans="1:36" ht="23.25">
      <c r="B1223" s="207"/>
      <c r="C1223" s="201"/>
      <c r="D1223" s="152"/>
      <c r="E1223" s="155"/>
      <c r="F1223" s="154"/>
      <c r="G1223" s="113"/>
      <c r="H1223" s="103"/>
      <c r="I1223" s="103"/>
      <c r="J1223" s="103"/>
      <c r="K1223" s="103"/>
      <c r="L1223" s="103"/>
    </row>
    <row r="1224" spans="1:36" ht="23.25">
      <c r="B1224" s="207"/>
      <c r="C1224" s="201"/>
      <c r="D1224" s="152"/>
      <c r="E1224" s="155"/>
      <c r="F1224" s="154"/>
      <c r="G1224" s="113"/>
      <c r="H1224" s="103"/>
      <c r="I1224" s="103"/>
      <c r="J1224" s="103"/>
      <c r="K1224" s="103"/>
      <c r="L1224" s="103"/>
    </row>
    <row r="1225" spans="1:36" ht="23.25">
      <c r="B1225" s="207"/>
      <c r="C1225" s="201"/>
      <c r="D1225" s="152"/>
      <c r="E1225" s="155"/>
      <c r="F1225" s="154"/>
      <c r="G1225" s="113"/>
      <c r="H1225" s="103"/>
      <c r="I1225" s="103"/>
      <c r="J1225" s="103"/>
      <c r="K1225" s="103"/>
      <c r="L1225" s="103"/>
    </row>
    <row r="1226" spans="1:36" ht="23.25">
      <c r="B1226" s="207"/>
      <c r="C1226" s="201"/>
      <c r="D1226" s="152"/>
      <c r="E1226" s="155"/>
      <c r="F1226" s="154"/>
      <c r="G1226" s="113"/>
      <c r="H1226" s="103"/>
      <c r="I1226" s="103"/>
      <c r="J1226" s="103"/>
      <c r="K1226" s="103"/>
      <c r="L1226" s="103"/>
    </row>
    <row r="1227" spans="1:36" ht="23.25">
      <c r="B1227" s="207"/>
      <c r="C1227" s="201"/>
      <c r="D1227" s="152"/>
      <c r="E1227" s="155"/>
      <c r="F1227" s="154"/>
      <c r="G1227" s="113"/>
      <c r="H1227" s="103"/>
      <c r="I1227" s="103"/>
      <c r="J1227" s="103"/>
      <c r="K1227" s="103"/>
      <c r="L1227" s="103"/>
    </row>
    <row r="1228" spans="1:36" ht="23.25">
      <c r="B1228" s="207"/>
      <c r="C1228" s="201"/>
      <c r="D1228" s="152"/>
      <c r="E1228" s="155"/>
      <c r="F1228" s="154"/>
      <c r="G1228" s="113"/>
      <c r="H1228" s="103"/>
      <c r="I1228" s="103"/>
      <c r="J1228" s="103"/>
      <c r="K1228" s="103"/>
      <c r="L1228" s="103"/>
    </row>
    <row r="1229" spans="1:36" s="4" customFormat="1">
      <c r="A1229" s="5"/>
      <c r="B1229" s="117"/>
      <c r="C1229" s="103"/>
      <c r="D1229" s="103"/>
      <c r="E1229" s="103"/>
      <c r="F1229" s="103"/>
      <c r="G1229" s="117"/>
      <c r="H1229" s="103"/>
      <c r="I1229" s="103"/>
      <c r="J1229" s="103"/>
      <c r="K1229" s="103"/>
      <c r="L1229" s="103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</row>
    <row r="1230" spans="1:36" s="4" customFormat="1">
      <c r="A1230" s="5"/>
      <c r="B1230" s="117"/>
      <c r="C1230" s="103"/>
      <c r="D1230" s="103"/>
      <c r="E1230" s="103"/>
      <c r="F1230" s="103"/>
      <c r="G1230" s="117"/>
      <c r="H1230" s="103"/>
      <c r="I1230" s="103"/>
      <c r="J1230" s="103"/>
      <c r="K1230" s="103"/>
      <c r="L1230" s="103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</row>
    <row r="1231" spans="1:36" s="4" customFormat="1">
      <c r="A1231" s="5"/>
      <c r="B1231" s="117"/>
      <c r="C1231" s="103"/>
      <c r="D1231" s="103"/>
      <c r="E1231" s="103"/>
      <c r="F1231" s="103"/>
      <c r="G1231" s="117"/>
      <c r="H1231" s="103"/>
      <c r="I1231" s="103"/>
      <c r="J1231" s="103"/>
      <c r="K1231" s="103"/>
      <c r="L1231" s="103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</row>
    <row r="1232" spans="1:36" s="4" customFormat="1">
      <c r="A1232" s="5"/>
      <c r="B1232" s="117"/>
      <c r="C1232" s="103"/>
      <c r="D1232" s="103"/>
      <c r="E1232" s="103"/>
      <c r="F1232" s="103"/>
      <c r="G1232" s="117"/>
      <c r="H1232" s="103"/>
      <c r="I1232" s="103"/>
      <c r="J1232" s="103"/>
      <c r="K1232" s="103"/>
      <c r="L1232" s="103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</row>
    <row r="1233" spans="1:44" s="4" customFormat="1">
      <c r="A1233" s="5"/>
      <c r="B1233" s="117"/>
      <c r="C1233" s="103"/>
      <c r="D1233" s="103"/>
      <c r="E1233" s="103"/>
      <c r="F1233" s="103"/>
      <c r="G1233" s="117"/>
      <c r="H1233" s="103"/>
      <c r="I1233" s="103"/>
      <c r="J1233" s="103"/>
      <c r="K1233" s="103"/>
      <c r="L1233" s="10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</row>
    <row r="1234" spans="1:44" s="4" customFormat="1">
      <c r="A1234" s="5"/>
      <c r="B1234" s="117"/>
      <c r="C1234" s="103"/>
      <c r="D1234" s="103"/>
      <c r="E1234" s="103"/>
      <c r="F1234" s="103"/>
      <c r="G1234" s="117"/>
      <c r="H1234" s="103"/>
      <c r="I1234" s="103"/>
      <c r="J1234" s="103"/>
      <c r="K1234" s="103"/>
      <c r="L1234" s="103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</row>
    <row r="1235" spans="1:44" s="4" customFormat="1">
      <c r="A1235" s="5"/>
      <c r="B1235" s="117"/>
      <c r="C1235" s="103"/>
      <c r="D1235" s="103"/>
      <c r="E1235" s="103"/>
      <c r="F1235" s="103"/>
      <c r="G1235" s="117"/>
      <c r="H1235" s="103"/>
      <c r="I1235" s="103"/>
      <c r="J1235" s="103"/>
      <c r="K1235" s="103"/>
      <c r="L1235" s="103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</row>
    <row r="1236" spans="1:44" s="4" customFormat="1">
      <c r="A1236" s="5"/>
      <c r="B1236" s="117"/>
      <c r="C1236" s="103"/>
      <c r="D1236" s="103"/>
      <c r="E1236" s="103"/>
      <c r="F1236" s="103"/>
      <c r="G1236" s="117"/>
      <c r="H1236" s="103"/>
      <c r="I1236" s="103"/>
      <c r="J1236" s="103"/>
      <c r="K1236" s="103"/>
      <c r="L1236" s="103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</row>
    <row r="1237" spans="1:44" s="4" customFormat="1">
      <c r="A1237" s="5"/>
      <c r="B1237" s="117"/>
      <c r="C1237" s="103"/>
      <c r="D1237" s="103"/>
      <c r="E1237" s="103"/>
      <c r="F1237" s="103"/>
      <c r="G1237" s="117"/>
      <c r="H1237" s="103"/>
      <c r="I1237" s="103"/>
      <c r="J1237" s="103"/>
      <c r="K1237" s="103"/>
      <c r="L1237" s="103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</row>
    <row r="1238" spans="1:44" s="4" customFormat="1">
      <c r="A1238" s="5"/>
      <c r="B1238" s="117"/>
      <c r="C1238" s="103"/>
      <c r="D1238" s="103"/>
      <c r="E1238" s="103"/>
      <c r="F1238" s="103"/>
      <c r="G1238" s="117"/>
      <c r="H1238" s="103"/>
      <c r="I1238" s="103"/>
      <c r="J1238" s="103"/>
      <c r="K1238" s="103"/>
      <c r="L1238" s="103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</row>
    <row r="1239" spans="1:44" s="4" customFormat="1">
      <c r="A1239" s="5"/>
      <c r="B1239" s="117"/>
      <c r="C1239" s="103"/>
      <c r="D1239" s="103"/>
      <c r="E1239" s="103"/>
      <c r="F1239" s="103"/>
      <c r="G1239" s="117"/>
      <c r="H1239" s="103"/>
      <c r="I1239" s="103"/>
      <c r="J1239" s="103"/>
      <c r="K1239" s="103"/>
      <c r="L1239" s="103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</row>
    <row r="1240" spans="1:44" s="5" customFormat="1">
      <c r="B1240" s="117"/>
      <c r="C1240" s="103"/>
      <c r="D1240" s="103"/>
      <c r="E1240" s="103"/>
      <c r="F1240" s="103"/>
      <c r="G1240" s="117"/>
      <c r="H1240" s="103"/>
      <c r="I1240" s="103"/>
      <c r="J1240" s="103"/>
      <c r="K1240" s="103"/>
      <c r="L1240" s="103"/>
    </row>
    <row r="1241" spans="1:44" s="4" customFormat="1">
      <c r="A1241" s="5"/>
      <c r="B1241" s="117"/>
      <c r="C1241" s="103"/>
      <c r="D1241" s="103"/>
      <c r="E1241" s="103"/>
      <c r="F1241" s="103"/>
      <c r="G1241" s="117"/>
      <c r="H1241" s="103"/>
      <c r="I1241" s="103"/>
      <c r="J1241" s="103"/>
      <c r="K1241" s="103"/>
      <c r="L1241" s="103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</row>
    <row r="1242" spans="1:44" s="4" customFormat="1">
      <c r="A1242" s="5"/>
      <c r="B1242" s="117"/>
      <c r="C1242" s="103"/>
      <c r="D1242" s="103"/>
      <c r="E1242" s="103"/>
      <c r="F1242" s="103"/>
      <c r="G1242" s="117"/>
      <c r="H1242" s="103"/>
      <c r="I1242" s="103"/>
      <c r="J1242" s="103"/>
      <c r="K1242" s="103"/>
      <c r="L1242" s="103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</row>
    <row r="1243" spans="1:44" s="4" customFormat="1">
      <c r="A1243" s="5"/>
      <c r="B1243" s="117"/>
      <c r="C1243" s="103"/>
      <c r="D1243" s="103"/>
      <c r="E1243" s="103"/>
      <c r="F1243" s="103"/>
      <c r="G1243" s="117"/>
      <c r="H1243" s="103"/>
      <c r="I1243" s="103"/>
      <c r="J1243" s="103"/>
      <c r="K1243" s="103"/>
      <c r="L1243" s="10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</row>
    <row r="1244" spans="1:44" s="4" customFormat="1">
      <c r="A1244" s="5"/>
      <c r="B1244" s="117"/>
      <c r="C1244" s="103"/>
      <c r="D1244" s="103"/>
      <c r="E1244" s="103"/>
      <c r="F1244" s="103"/>
      <c r="G1244" s="117"/>
      <c r="H1244" s="103"/>
      <c r="I1244" s="103"/>
      <c r="J1244" s="103"/>
      <c r="K1244" s="103"/>
      <c r="L1244" s="103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</row>
    <row r="1245" spans="1:44" s="4" customFormat="1">
      <c r="A1245" s="5"/>
      <c r="B1245" s="117"/>
      <c r="C1245" s="103"/>
      <c r="D1245" s="103"/>
      <c r="E1245" s="103"/>
      <c r="F1245" s="103"/>
      <c r="G1245" s="117"/>
      <c r="H1245" s="103"/>
      <c r="I1245" s="103"/>
      <c r="J1245" s="103"/>
      <c r="K1245" s="103"/>
      <c r="L1245" s="103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</row>
    <row r="1246" spans="1:44" s="5" customFormat="1">
      <c r="B1246" s="117"/>
      <c r="C1246" s="103"/>
      <c r="D1246" s="103"/>
      <c r="E1246" s="103"/>
      <c r="F1246" s="103"/>
      <c r="G1246" s="117"/>
      <c r="H1246" s="103"/>
      <c r="I1246" s="103"/>
      <c r="J1246" s="103"/>
      <c r="K1246" s="103"/>
      <c r="L1246" s="103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</row>
    <row r="1247" spans="1:44" s="4" customFormat="1">
      <c r="A1247" s="5"/>
      <c r="B1247" s="117"/>
      <c r="C1247" s="103"/>
      <c r="D1247" s="103"/>
      <c r="E1247" s="103"/>
      <c r="F1247" s="103"/>
      <c r="G1247" s="117"/>
      <c r="H1247" s="103"/>
      <c r="I1247" s="103"/>
      <c r="J1247" s="103"/>
      <c r="K1247" s="103"/>
      <c r="L1247" s="103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</row>
    <row r="1248" spans="1:44" s="4" customFormat="1">
      <c r="A1248" s="5"/>
      <c r="B1248" s="117"/>
      <c r="C1248" s="103"/>
      <c r="D1248" s="103"/>
      <c r="E1248" s="103"/>
      <c r="F1248" s="103"/>
      <c r="G1248" s="117"/>
      <c r="H1248" s="103"/>
      <c r="I1248" s="103"/>
      <c r="J1248" s="103"/>
      <c r="K1248" s="103"/>
      <c r="L1248" s="103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</row>
    <row r="1249" spans="1:45">
      <c r="B1249" s="117"/>
      <c r="C1249" s="103"/>
      <c r="D1249" s="15"/>
      <c r="E1249" s="73"/>
      <c r="F1249" s="76"/>
      <c r="G1249" s="117"/>
      <c r="H1249" s="103"/>
      <c r="I1249" s="103"/>
      <c r="J1249" s="103"/>
      <c r="K1249" s="103"/>
      <c r="L1249" s="103"/>
    </row>
    <row r="1250" spans="1:45">
      <c r="B1250" s="117"/>
      <c r="C1250" s="103"/>
      <c r="D1250" s="15"/>
      <c r="E1250" s="73"/>
      <c r="F1250" s="76"/>
      <c r="G1250" s="117"/>
      <c r="H1250" s="103"/>
      <c r="I1250" s="103"/>
      <c r="J1250" s="103"/>
      <c r="K1250" s="103"/>
      <c r="L1250" s="103"/>
    </row>
    <row r="1251" spans="1:45">
      <c r="B1251" s="117"/>
      <c r="C1251" s="103"/>
      <c r="D1251" s="15"/>
      <c r="E1251" s="73"/>
      <c r="F1251" s="76"/>
      <c r="G1251" s="117"/>
      <c r="H1251" s="103"/>
      <c r="I1251" s="103"/>
      <c r="J1251" s="103"/>
      <c r="K1251" s="103"/>
      <c r="L1251" s="103"/>
    </row>
    <row r="1252" spans="1:45">
      <c r="B1252" s="117"/>
      <c r="C1252" s="103"/>
      <c r="D1252" s="15"/>
      <c r="E1252" s="73"/>
      <c r="F1252" s="76"/>
      <c r="G1252" s="117"/>
      <c r="H1252" s="103"/>
      <c r="I1252" s="103"/>
      <c r="J1252" s="103"/>
      <c r="K1252" s="103"/>
      <c r="L1252" s="103"/>
    </row>
    <row r="1253" spans="1:45">
      <c r="B1253" s="117"/>
      <c r="C1253" s="103"/>
      <c r="D1253" s="15"/>
      <c r="E1253" s="73"/>
      <c r="F1253" s="76"/>
      <c r="G1253" s="117"/>
      <c r="H1253" s="103"/>
      <c r="I1253" s="103"/>
      <c r="J1253" s="103"/>
      <c r="K1253" s="103"/>
      <c r="L1253" s="103"/>
    </row>
    <row r="1254" spans="1:45">
      <c r="B1254" s="117"/>
      <c r="C1254" s="103"/>
      <c r="D1254" s="15"/>
      <c r="E1254" s="73"/>
      <c r="F1254" s="76"/>
      <c r="G1254" s="117"/>
      <c r="H1254" s="103"/>
      <c r="I1254" s="103"/>
      <c r="J1254" s="103"/>
      <c r="K1254" s="103"/>
      <c r="L1254" s="103"/>
    </row>
    <row r="1255" spans="1:45">
      <c r="B1255" s="117"/>
      <c r="C1255" s="103"/>
      <c r="D1255" s="15"/>
      <c r="E1255" s="73"/>
      <c r="F1255" s="76"/>
      <c r="G1255" s="117"/>
      <c r="H1255" s="103"/>
      <c r="I1255" s="103"/>
      <c r="J1255" s="103"/>
      <c r="K1255" s="103"/>
      <c r="L1255" s="103"/>
    </row>
    <row r="1256" spans="1:45" ht="27.75" customHeight="1">
      <c r="B1256" s="117"/>
      <c r="C1256" s="103"/>
      <c r="D1256" s="15"/>
      <c r="E1256" s="73"/>
      <c r="F1256" s="76"/>
      <c r="G1256" s="117"/>
      <c r="H1256" s="103"/>
      <c r="I1256" s="103"/>
      <c r="J1256" s="103"/>
      <c r="K1256" s="103"/>
      <c r="L1256" s="103"/>
    </row>
    <row r="1257" spans="1:45" ht="14.25" customHeight="1">
      <c r="B1257" s="117"/>
      <c r="C1257" s="103"/>
      <c r="D1257" s="15"/>
      <c r="E1257" s="73"/>
      <c r="F1257" s="76"/>
      <c r="G1257" s="117"/>
      <c r="H1257" s="103"/>
      <c r="I1257" s="103"/>
      <c r="J1257" s="103"/>
      <c r="K1257" s="103"/>
      <c r="L1257" s="103"/>
    </row>
    <row r="1258" spans="1:45" s="4" customFormat="1">
      <c r="A1258" s="5"/>
      <c r="B1258" s="117"/>
      <c r="C1258" s="103"/>
      <c r="D1258" s="103"/>
      <c r="E1258" s="103"/>
      <c r="F1258" s="103"/>
      <c r="G1258" s="117"/>
      <c r="H1258" s="103"/>
      <c r="I1258" s="103"/>
      <c r="J1258" s="103"/>
      <c r="K1258" s="103"/>
      <c r="L1258" s="103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</row>
    <row r="1259" spans="1:45" s="4" customFormat="1">
      <c r="A1259" s="5"/>
      <c r="B1259" s="117"/>
      <c r="C1259" s="103"/>
      <c r="D1259" s="103"/>
      <c r="E1259" s="103"/>
      <c r="F1259" s="103"/>
      <c r="G1259" s="117"/>
      <c r="H1259" s="103"/>
      <c r="I1259" s="103"/>
      <c r="J1259" s="103"/>
      <c r="K1259" s="103"/>
      <c r="L1259" s="103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</row>
    <row r="1260" spans="1:45" s="4" customFormat="1">
      <c r="A1260" s="5"/>
      <c r="B1260" s="117"/>
      <c r="C1260" s="103"/>
      <c r="D1260" s="103"/>
      <c r="E1260" s="103"/>
      <c r="F1260" s="103"/>
      <c r="G1260" s="117"/>
      <c r="H1260" s="103"/>
      <c r="I1260" s="103"/>
      <c r="J1260" s="103"/>
      <c r="K1260" s="103"/>
      <c r="L1260" s="103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</row>
    <row r="1261" spans="1:45" s="4" customFormat="1">
      <c r="A1261" s="5"/>
      <c r="B1261" s="117"/>
      <c r="C1261" s="103"/>
      <c r="D1261" s="103"/>
      <c r="E1261" s="103"/>
      <c r="F1261" s="103"/>
      <c r="G1261" s="117"/>
      <c r="H1261" s="103"/>
      <c r="I1261" s="103"/>
      <c r="J1261" s="103"/>
      <c r="K1261" s="103"/>
      <c r="L1261" s="103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</row>
    <row r="1262" spans="1:45" s="4" customFormat="1">
      <c r="A1262" s="5"/>
      <c r="B1262" s="117"/>
      <c r="C1262" s="103"/>
      <c r="D1262" s="103"/>
      <c r="E1262" s="103"/>
      <c r="F1262" s="103"/>
      <c r="G1262" s="117"/>
      <c r="H1262" s="103"/>
      <c r="I1262" s="103"/>
      <c r="J1262" s="103"/>
      <c r="K1262" s="103"/>
      <c r="L1262" s="103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</row>
    <row r="1263" spans="1:45" s="4" customFormat="1">
      <c r="A1263" s="5"/>
      <c r="B1263" s="117"/>
      <c r="C1263" s="103"/>
      <c r="D1263" s="103"/>
      <c r="E1263" s="103"/>
      <c r="F1263" s="103"/>
      <c r="G1263" s="117"/>
      <c r="H1263" s="103"/>
      <c r="I1263" s="103"/>
      <c r="J1263" s="103"/>
      <c r="K1263" s="103"/>
      <c r="L1263" s="10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</row>
    <row r="1264" spans="1:45" s="4" customFormat="1">
      <c r="A1264" s="5"/>
      <c r="B1264" s="117"/>
      <c r="C1264" s="103"/>
      <c r="D1264" s="103"/>
      <c r="E1264" s="103"/>
      <c r="F1264" s="103"/>
      <c r="G1264" s="117"/>
      <c r="H1264" s="103"/>
      <c r="I1264" s="103"/>
      <c r="J1264" s="103"/>
      <c r="K1264" s="103"/>
      <c r="L1264" s="103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</row>
    <row r="1265" spans="1:45" s="4" customFormat="1">
      <c r="A1265" s="5"/>
      <c r="B1265" s="117"/>
      <c r="C1265" s="103"/>
      <c r="D1265" s="103"/>
      <c r="E1265" s="103"/>
      <c r="F1265" s="103"/>
      <c r="G1265" s="117"/>
      <c r="H1265" s="103"/>
      <c r="I1265" s="103"/>
      <c r="J1265" s="103"/>
      <c r="K1265" s="103"/>
      <c r="L1265" s="103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</row>
    <row r="1266" spans="1:45" s="4" customFormat="1">
      <c r="A1266" s="5"/>
      <c r="B1266" s="117"/>
      <c r="C1266" s="103"/>
      <c r="D1266" s="103"/>
      <c r="E1266" s="103"/>
      <c r="F1266" s="103"/>
      <c r="G1266" s="5"/>
      <c r="H1266" s="5"/>
      <c r="I1266" s="5"/>
      <c r="J1266" s="5"/>
      <c r="K1266" s="5"/>
      <c r="L1266" s="5"/>
      <c r="M1266" s="5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</row>
    <row r="1267" spans="1:45" s="4" customFormat="1">
      <c r="A1267" s="5"/>
      <c r="B1267" s="117"/>
      <c r="C1267" s="103"/>
      <c r="D1267" s="103"/>
      <c r="E1267" s="103"/>
      <c r="F1267" s="103"/>
      <c r="G1267"/>
      <c r="H1267"/>
      <c r="I1267" s="5"/>
      <c r="J1267" s="5"/>
      <c r="K1267" s="5"/>
      <c r="L1267" s="5"/>
      <c r="M1267" s="5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</row>
    <row r="1268" spans="1:45" s="4" customFormat="1">
      <c r="A1268" s="5"/>
      <c r="B1268" s="117"/>
      <c r="C1268" s="103"/>
      <c r="D1268" s="103"/>
      <c r="E1268" s="103"/>
      <c r="F1268" s="103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</row>
    <row r="1269" spans="1:45" s="4" customFormat="1">
      <c r="A1269" s="5"/>
      <c r="B1269" s="117"/>
      <c r="C1269" s="103"/>
      <c r="D1269" s="103"/>
      <c r="E1269" s="103"/>
      <c r="F1269" s="103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</row>
    <row r="1270" spans="1:45" s="4" customFormat="1">
      <c r="A1270" s="5"/>
      <c r="B1270" s="117"/>
      <c r="C1270" s="103"/>
      <c r="D1270" s="103"/>
      <c r="E1270" s="103"/>
      <c r="F1270" s="103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</row>
    <row r="1271" spans="1:45" s="4" customFormat="1">
      <c r="A1271" s="5"/>
      <c r="B1271" s="117"/>
      <c r="C1271" s="103"/>
      <c r="D1271" s="103"/>
      <c r="E1271" s="103"/>
      <c r="F1271" s="103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</row>
    <row r="1272" spans="1:45" s="4" customFormat="1" ht="16.5" customHeight="1">
      <c r="A1272" s="5"/>
      <c r="B1272" s="117"/>
      <c r="C1272" s="103"/>
      <c r="D1272" s="103"/>
      <c r="E1272" s="103"/>
      <c r="F1272" s="103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</row>
    <row r="1273" spans="1:45" s="4" customFormat="1">
      <c r="A1273" s="5"/>
      <c r="B1273" s="117"/>
      <c r="C1273" s="103"/>
      <c r="D1273" s="103"/>
      <c r="E1273" s="103"/>
      <c r="F1273" s="10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</row>
    <row r="1274" spans="1:45" s="4" customFormat="1">
      <c r="A1274" s="5"/>
      <c r="B1274" s="117"/>
      <c r="C1274" s="103"/>
      <c r="D1274" s="103"/>
      <c r="E1274" s="103"/>
      <c r="F1274" s="103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</row>
    <row r="1275" spans="1:45" s="4" customFormat="1">
      <c r="A1275" s="5"/>
      <c r="B1275" s="117"/>
      <c r="C1275" s="103"/>
      <c r="D1275" s="103"/>
      <c r="E1275" s="103"/>
      <c r="F1275" s="103"/>
      <c r="G1275"/>
      <c r="H1275" t="s">
        <v>378</v>
      </c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</row>
    <row r="1276" spans="1:45" s="5" customFormat="1">
      <c r="B1276" s="117"/>
      <c r="C1276" s="103"/>
      <c r="D1276" s="103"/>
      <c r="E1276" s="103"/>
      <c r="F1276" s="103"/>
    </row>
    <row r="1277" spans="1:45" s="5" customFormat="1">
      <c r="B1277" s="117"/>
      <c r="C1277" s="103"/>
      <c r="D1277" s="103"/>
      <c r="E1277" s="103"/>
      <c r="F1277" s="103"/>
    </row>
    <row r="1278" spans="1:45" s="5" customFormat="1">
      <c r="B1278" s="117"/>
      <c r="C1278" s="103"/>
      <c r="D1278" s="103"/>
      <c r="E1278" s="103"/>
      <c r="F1278" s="103"/>
    </row>
    <row r="1279" spans="1:45" s="5" customFormat="1">
      <c r="B1279" s="117"/>
      <c r="C1279" s="103"/>
      <c r="D1279" s="103"/>
      <c r="E1279" s="103"/>
      <c r="F1279" s="103"/>
    </row>
    <row r="1280" spans="1:45" s="5" customFormat="1">
      <c r="B1280" s="117"/>
      <c r="C1280" s="103"/>
      <c r="D1280" s="103"/>
      <c r="E1280" s="103"/>
      <c r="F1280" s="103"/>
    </row>
    <row r="1281" spans="1:45" s="5" customFormat="1">
      <c r="B1281" s="117"/>
      <c r="C1281" s="103"/>
      <c r="D1281" s="103"/>
      <c r="E1281" s="103"/>
      <c r="F1281" s="103"/>
    </row>
    <row r="1282" spans="1:45" s="5" customFormat="1">
      <c r="B1282" s="117"/>
      <c r="C1282" s="103"/>
      <c r="D1282" s="103"/>
      <c r="E1282" s="103"/>
      <c r="F1282" s="103"/>
    </row>
    <row r="1283" spans="1:45" s="4" customFormat="1">
      <c r="A1283" s="5"/>
      <c r="B1283" s="117"/>
      <c r="C1283" s="103"/>
      <c r="D1283" s="103"/>
      <c r="E1283" s="103"/>
      <c r="F1283" s="10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</row>
    <row r="1284" spans="1:45" s="4" customFormat="1">
      <c r="A1284" s="5"/>
      <c r="B1284" s="117"/>
      <c r="C1284" s="103"/>
      <c r="D1284" s="103"/>
      <c r="E1284" s="103"/>
      <c r="F1284" s="103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</row>
    <row r="1285" spans="1:45" s="4" customFormat="1">
      <c r="A1285" s="5"/>
      <c r="B1285" s="117"/>
      <c r="C1285" s="103"/>
      <c r="D1285" s="103"/>
      <c r="E1285" s="103"/>
      <c r="F1285" s="103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</row>
    <row r="1286" spans="1:45" s="4" customFormat="1">
      <c r="A1286" s="5"/>
      <c r="B1286" s="117"/>
      <c r="C1286" s="103"/>
      <c r="D1286" s="103"/>
      <c r="E1286" s="103"/>
      <c r="F1286" s="103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</row>
    <row r="1287" spans="1:45" s="4" customFormat="1">
      <c r="A1287" s="5"/>
      <c r="B1287" s="117"/>
      <c r="C1287" s="103"/>
      <c r="D1287" s="103"/>
      <c r="E1287" s="103"/>
      <c r="F1287" s="103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</row>
    <row r="1288" spans="1:45" s="4" customFormat="1">
      <c r="A1288" s="5"/>
      <c r="B1288" s="117"/>
      <c r="C1288" s="103"/>
      <c r="D1288" s="103"/>
      <c r="E1288" s="103"/>
      <c r="F1288" s="103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</row>
    <row r="1289" spans="1:45" s="4" customFormat="1">
      <c r="A1289" s="5"/>
      <c r="B1289" s="117"/>
      <c r="C1289" s="103"/>
      <c r="D1289" s="103"/>
      <c r="E1289" s="103"/>
      <c r="F1289" s="103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</row>
    <row r="1290" spans="1:45" s="57" customFormat="1">
      <c r="A1290" s="5"/>
      <c r="B1290" s="117"/>
      <c r="C1290" s="103"/>
      <c r="D1290" s="103"/>
      <c r="E1290" s="103"/>
      <c r="F1290" s="103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45" s="4" customFormat="1">
      <c r="A1291" s="5"/>
      <c r="B1291" s="117"/>
      <c r="C1291" s="103"/>
      <c r="D1291" s="103"/>
      <c r="E1291" s="103"/>
      <c r="F1291" s="103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</row>
    <row r="1292" spans="1:45" s="4" customFormat="1">
      <c r="A1292" s="5"/>
      <c r="B1292" s="117"/>
      <c r="C1292" s="103"/>
      <c r="D1292" s="103"/>
      <c r="E1292" s="103"/>
      <c r="F1292" s="103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</row>
    <row r="1293" spans="1:45" s="4" customFormat="1">
      <c r="A1293" s="5"/>
      <c r="B1293" s="117"/>
      <c r="C1293" s="103"/>
      <c r="D1293" s="103"/>
      <c r="E1293" s="103"/>
      <c r="F1293" s="10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</row>
    <row r="1294" spans="1:45" s="4" customFormat="1">
      <c r="A1294" s="5"/>
      <c r="B1294" s="117"/>
      <c r="C1294" s="103"/>
      <c r="D1294" s="103"/>
      <c r="E1294" s="103"/>
      <c r="F1294" s="103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</row>
    <row r="1295" spans="1:45" s="4" customFormat="1">
      <c r="A1295" s="5"/>
      <c r="B1295" s="117"/>
      <c r="C1295" s="103"/>
      <c r="D1295" s="103"/>
      <c r="E1295" s="103"/>
      <c r="F1295" s="103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</row>
    <row r="1296" spans="1:45" s="4" customFormat="1">
      <c r="A1296" s="5"/>
      <c r="B1296" s="117"/>
      <c r="C1296" s="103"/>
      <c r="D1296" s="103"/>
      <c r="E1296" s="103"/>
      <c r="F1296" s="103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</row>
    <row r="1297" spans="1:45" s="4" customFormat="1">
      <c r="A1297" s="5"/>
      <c r="B1297" s="117"/>
      <c r="C1297" s="103"/>
      <c r="D1297" s="103"/>
      <c r="E1297" s="103"/>
      <c r="F1297" s="103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</row>
    <row r="1298" spans="1:45" s="57" customFormat="1">
      <c r="A1298" s="5"/>
      <c r="B1298" s="117"/>
      <c r="C1298" s="103"/>
      <c r="D1298" s="103"/>
      <c r="E1298" s="103"/>
      <c r="F1298" s="103"/>
    </row>
    <row r="1299" spans="1:45" s="4" customFormat="1">
      <c r="A1299" s="5"/>
      <c r="B1299" s="117"/>
      <c r="C1299" s="103"/>
      <c r="D1299" s="103"/>
      <c r="E1299" s="103"/>
      <c r="F1299" s="103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</row>
    <row r="1300" spans="1:45" s="4" customFormat="1">
      <c r="A1300" s="5"/>
      <c r="B1300" s="117"/>
      <c r="C1300" s="103"/>
      <c r="D1300" s="103"/>
      <c r="E1300" s="103"/>
      <c r="F1300" s="103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</row>
    <row r="1301" spans="1:45" s="4" customFormat="1">
      <c r="A1301" s="5"/>
      <c r="B1301" s="117"/>
      <c r="C1301" s="103"/>
      <c r="D1301" s="103"/>
      <c r="E1301" s="103"/>
      <c r="F1301" s="103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</row>
    <row r="1302" spans="1:45" s="65" customFormat="1">
      <c r="A1302" s="5"/>
      <c r="B1302" s="117"/>
      <c r="C1302" s="103"/>
      <c r="D1302" s="103"/>
      <c r="E1302" s="103"/>
      <c r="F1302" s="103"/>
      <c r="G1302" s="5"/>
    </row>
    <row r="1303" spans="1:45" s="4" customFormat="1">
      <c r="A1303" s="5"/>
      <c r="B1303" s="117"/>
      <c r="C1303" s="103"/>
      <c r="D1303" s="103"/>
      <c r="E1303" s="103"/>
      <c r="F1303" s="1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</row>
    <row r="1304" spans="1:45" s="4" customFormat="1">
      <c r="A1304" s="5"/>
      <c r="B1304" s="117"/>
      <c r="C1304" s="103"/>
      <c r="D1304" s="103"/>
      <c r="E1304" s="103"/>
      <c r="F1304" s="103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</row>
    <row r="1305" spans="1:45" s="4" customFormat="1">
      <c r="A1305" s="5"/>
      <c r="B1305" s="117"/>
      <c r="C1305" s="103"/>
      <c r="D1305" s="103"/>
      <c r="E1305" s="103"/>
      <c r="F1305" s="103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</row>
    <row r="1306" spans="1:45" s="4" customFormat="1">
      <c r="A1306" s="5"/>
      <c r="B1306" s="117"/>
      <c r="C1306" s="103"/>
      <c r="D1306" s="103"/>
      <c r="E1306" s="103"/>
      <c r="F1306" s="103"/>
      <c r="G1306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/>
      <c r="AI1306"/>
      <c r="AJ1306"/>
      <c r="AK1306"/>
      <c r="AL1306"/>
      <c r="AM1306"/>
      <c r="AN1306"/>
      <c r="AO1306"/>
      <c r="AP1306"/>
      <c r="AQ1306"/>
      <c r="AR1306"/>
      <c r="AS1306"/>
    </row>
    <row r="1307" spans="1:45" s="4" customFormat="1">
      <c r="A1307" s="5"/>
      <c r="B1307" s="117"/>
      <c r="C1307" s="103"/>
      <c r="D1307" s="103"/>
      <c r="E1307" s="103"/>
      <c r="F1307" s="103"/>
      <c r="G1307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/>
      <c r="AI1307"/>
      <c r="AJ1307"/>
      <c r="AK1307"/>
      <c r="AL1307"/>
      <c r="AM1307"/>
      <c r="AN1307"/>
      <c r="AO1307"/>
      <c r="AP1307"/>
      <c r="AQ1307"/>
      <c r="AR1307"/>
      <c r="AS1307"/>
    </row>
    <row r="1308" spans="1:45" s="4" customFormat="1">
      <c r="A1308" s="5"/>
      <c r="B1308" s="117"/>
      <c r="C1308" s="103"/>
      <c r="D1308" s="103"/>
      <c r="E1308" s="103"/>
      <c r="F1308" s="103"/>
      <c r="G1308" s="5"/>
      <c r="H1308" s="5"/>
      <c r="I1308" s="5"/>
      <c r="J1308" s="5"/>
      <c r="K1308" s="5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</row>
    <row r="1309" spans="1:45" s="5" customFormat="1">
      <c r="B1309" s="117"/>
      <c r="C1309" s="103"/>
      <c r="D1309" s="103"/>
      <c r="E1309" s="103"/>
      <c r="F1309" s="103"/>
    </row>
    <row r="1310" spans="1:45" s="4" customFormat="1">
      <c r="A1310" s="5"/>
      <c r="B1310" s="117"/>
      <c r="C1310" s="103"/>
      <c r="D1310" s="103"/>
      <c r="E1310" s="103"/>
      <c r="F1310" s="103"/>
      <c r="G1310" s="5"/>
      <c r="H1310" s="5"/>
      <c r="I1310" s="5"/>
      <c r="J1310" s="5"/>
      <c r="K1310" s="5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</row>
    <row r="1311" spans="1:45" s="4" customFormat="1">
      <c r="A1311" s="5"/>
      <c r="B1311" s="117"/>
      <c r="C1311" s="103"/>
      <c r="D1311" s="103"/>
      <c r="E1311" s="103"/>
      <c r="F1311" s="103"/>
      <c r="G1311" s="5"/>
      <c r="H1311" s="5"/>
      <c r="I1311" s="5"/>
      <c r="J1311" s="5"/>
      <c r="K1311" s="5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</row>
    <row r="1312" spans="1:45" s="4" customFormat="1">
      <c r="A1312" s="5"/>
      <c r="B1312" s="117"/>
      <c r="C1312" s="103"/>
      <c r="D1312" s="103"/>
      <c r="E1312" s="103"/>
      <c r="F1312" s="103"/>
      <c r="G1312" s="5"/>
      <c r="H1312" s="5"/>
      <c r="I1312" s="5"/>
      <c r="J1312" s="5"/>
      <c r="K1312" s="5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</row>
    <row r="1313" spans="1:45" s="4" customFormat="1">
      <c r="A1313" s="5"/>
      <c r="B1313" s="117"/>
      <c r="C1313" s="103"/>
      <c r="D1313" s="103"/>
      <c r="E1313" s="103"/>
      <c r="F1313" s="103"/>
      <c r="G1313" s="5"/>
      <c r="H1313" s="5"/>
      <c r="I1313" s="5"/>
      <c r="J1313" s="5"/>
      <c r="K1313" s="5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</row>
    <row r="1314" spans="1:45" s="4" customFormat="1">
      <c r="A1314" s="5"/>
      <c r="B1314" s="117"/>
      <c r="C1314" s="103"/>
      <c r="D1314" s="103"/>
      <c r="E1314" s="103"/>
      <c r="F1314" s="103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</row>
    <row r="1315" spans="1:45" s="4" customFormat="1">
      <c r="A1315" s="5"/>
      <c r="B1315" s="117"/>
      <c r="C1315" s="103"/>
      <c r="D1315" s="103"/>
      <c r="E1315" s="103"/>
      <c r="F1315" s="103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</row>
    <row r="1316" spans="1:45">
      <c r="B1316" s="117"/>
      <c r="C1316" s="103"/>
      <c r="D1316" s="15"/>
      <c r="E1316" s="73"/>
      <c r="F1316" s="76"/>
    </row>
    <row r="1317" spans="1:45">
      <c r="B1317" s="117"/>
      <c r="C1317" s="103"/>
      <c r="D1317" s="15"/>
      <c r="E1317" s="73"/>
      <c r="F1317" s="76"/>
    </row>
    <row r="1318" spans="1:45">
      <c r="B1318" s="117"/>
      <c r="C1318" s="103"/>
      <c r="D1318" s="15"/>
      <c r="E1318" s="73"/>
      <c r="F1318" s="76"/>
    </row>
    <row r="1319" spans="1:45" s="4" customFormat="1">
      <c r="A1319" s="5"/>
      <c r="B1319" s="117"/>
      <c r="C1319" s="103"/>
      <c r="D1319" s="103"/>
      <c r="E1319" s="103"/>
      <c r="F1319" s="103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</row>
    <row r="1320" spans="1:45" s="4" customFormat="1">
      <c r="A1320" s="5"/>
      <c r="B1320" s="117"/>
      <c r="C1320" s="103"/>
      <c r="D1320" s="103"/>
      <c r="E1320" s="103"/>
      <c r="F1320" s="103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</row>
    <row r="1321" spans="1:45" s="4" customFormat="1">
      <c r="A1321" s="5"/>
      <c r="B1321" s="117"/>
      <c r="C1321" s="103"/>
      <c r="D1321" s="103"/>
      <c r="E1321" s="103"/>
      <c r="F1321" s="103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</row>
    <row r="1322" spans="1:45" s="4" customFormat="1">
      <c r="A1322" s="5"/>
      <c r="B1322" s="117"/>
      <c r="C1322" s="103"/>
      <c r="D1322" s="103"/>
      <c r="E1322" s="103"/>
      <c r="F1322" s="103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</row>
    <row r="1323" spans="1:45" s="4" customFormat="1">
      <c r="A1323" s="5"/>
      <c r="B1323" s="117"/>
      <c r="C1323" s="103"/>
      <c r="D1323" s="103"/>
      <c r="E1323" s="103"/>
      <c r="F1323" s="10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</row>
    <row r="1324" spans="1:45" s="4" customFormat="1">
      <c r="A1324" s="5"/>
      <c r="B1324" s="117"/>
      <c r="C1324" s="103"/>
      <c r="D1324" s="103"/>
      <c r="E1324" s="103"/>
      <c r="F1324" s="103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</row>
    <row r="1325" spans="1:45" s="4" customFormat="1">
      <c r="A1325" s="5"/>
      <c r="B1325" s="117"/>
      <c r="C1325" s="103"/>
      <c r="D1325" s="103"/>
      <c r="E1325" s="103"/>
      <c r="F1325" s="103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</row>
    <row r="1326" spans="1:45" s="4" customFormat="1">
      <c r="A1326" s="5"/>
      <c r="B1326" s="117"/>
      <c r="C1326" s="103"/>
      <c r="D1326" s="103"/>
      <c r="E1326" s="103"/>
      <c r="F1326" s="103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</row>
    <row r="1327" spans="1:45" s="4" customFormat="1">
      <c r="A1327" s="5"/>
      <c r="B1327" s="117"/>
      <c r="C1327" s="103"/>
      <c r="D1327" s="103"/>
      <c r="E1327" s="103"/>
      <c r="F1327" s="103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</row>
    <row r="1328" spans="1:45" s="4" customFormat="1">
      <c r="A1328" s="5"/>
      <c r="B1328" s="117"/>
      <c r="C1328" s="103"/>
      <c r="D1328" s="103"/>
      <c r="E1328" s="103"/>
      <c r="F1328" s="103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</row>
    <row r="1329" spans="1:45" s="4" customFormat="1">
      <c r="A1329" s="5"/>
      <c r="B1329" s="117"/>
      <c r="C1329" s="103"/>
      <c r="D1329" s="103"/>
      <c r="E1329" s="103"/>
      <c r="F1329" s="103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</row>
    <row r="1330" spans="1:45" s="4" customFormat="1">
      <c r="A1330" s="5"/>
      <c r="B1330" s="117"/>
      <c r="C1330" s="103"/>
      <c r="D1330" s="103"/>
      <c r="E1330" s="103"/>
      <c r="F1330" s="103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</row>
    <row r="1331" spans="1:45" s="4" customFormat="1">
      <c r="A1331" s="5"/>
      <c r="B1331" s="117"/>
      <c r="C1331" s="103"/>
      <c r="D1331" s="103"/>
      <c r="E1331" s="103"/>
      <c r="F1331" s="103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</row>
    <row r="1332" spans="1:45" s="4" customFormat="1">
      <c r="A1332" s="5"/>
      <c r="B1332" s="117"/>
      <c r="C1332" s="103"/>
      <c r="D1332" s="103"/>
      <c r="E1332" s="103"/>
      <c r="F1332" s="103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</row>
    <row r="1333" spans="1:45" s="4" customFormat="1">
      <c r="A1333" s="5"/>
      <c r="B1333" s="117"/>
      <c r="C1333" s="103"/>
      <c r="D1333" s="103"/>
      <c r="E1333" s="103"/>
      <c r="F1333" s="10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</row>
    <row r="1334" spans="1:45" s="4" customFormat="1">
      <c r="A1334" s="5"/>
      <c r="B1334" s="117"/>
      <c r="C1334" s="103"/>
      <c r="D1334" s="103"/>
      <c r="E1334" s="103"/>
      <c r="F1334" s="103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</row>
    <row r="1335" spans="1:45" s="4" customFormat="1">
      <c r="A1335" s="5"/>
      <c r="B1335" s="117"/>
      <c r="C1335" s="103"/>
      <c r="D1335" s="103"/>
      <c r="E1335" s="103"/>
      <c r="F1335" s="103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</row>
    <row r="1336" spans="1:45" s="4" customFormat="1">
      <c r="A1336" s="5"/>
      <c r="B1336" s="117"/>
      <c r="C1336" s="103"/>
      <c r="D1336" s="103"/>
      <c r="E1336" s="103"/>
      <c r="F1336" s="103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</row>
    <row r="1337" spans="1:45" s="4" customFormat="1">
      <c r="A1337" s="5"/>
      <c r="B1337" s="117"/>
      <c r="C1337" s="103"/>
      <c r="D1337" s="103"/>
      <c r="E1337" s="103"/>
      <c r="F1337" s="103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</row>
    <row r="1338" spans="1:45" s="4" customFormat="1">
      <c r="A1338" s="5"/>
      <c r="B1338" s="117"/>
      <c r="C1338" s="103"/>
      <c r="D1338" s="103"/>
      <c r="E1338" s="103"/>
      <c r="F1338" s="103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</row>
    <row r="1339" spans="1:45" s="4" customFormat="1">
      <c r="A1339" s="5"/>
      <c r="B1339" s="117"/>
      <c r="C1339" s="103"/>
      <c r="D1339" s="103"/>
      <c r="E1339" s="103"/>
      <c r="F1339" s="103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</row>
    <row r="1340" spans="1:45" s="4" customFormat="1">
      <c r="A1340" s="5"/>
      <c r="B1340" s="117"/>
      <c r="C1340" s="103"/>
      <c r="D1340" s="103"/>
      <c r="E1340" s="103"/>
      <c r="F1340" s="103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</row>
    <row r="1341" spans="1:45">
      <c r="B1341" s="117"/>
      <c r="C1341" s="103"/>
      <c r="D1341" s="15"/>
      <c r="E1341" s="73"/>
      <c r="F1341" s="76"/>
    </row>
    <row r="1342" spans="1:45">
      <c r="B1342" s="117"/>
      <c r="C1342" s="103"/>
      <c r="D1342" s="15"/>
      <c r="E1342" s="73"/>
      <c r="F1342" s="76"/>
    </row>
    <row r="1343" spans="1:45">
      <c r="B1343" s="117"/>
      <c r="C1343" s="103"/>
      <c r="D1343" s="15"/>
      <c r="E1343" s="73"/>
      <c r="F1343" s="76"/>
    </row>
    <row r="1344" spans="1:45">
      <c r="B1344" s="117"/>
      <c r="C1344" s="103"/>
      <c r="D1344" s="15"/>
      <c r="E1344" s="73"/>
      <c r="F1344" s="76"/>
    </row>
    <row r="1345" spans="2:6">
      <c r="B1345" s="117"/>
      <c r="C1345" s="103"/>
      <c r="D1345" s="15"/>
      <c r="E1345" s="73"/>
      <c r="F1345" s="76"/>
    </row>
    <row r="1346" spans="2:6">
      <c r="B1346" s="117"/>
      <c r="C1346" s="103"/>
      <c r="D1346" s="15"/>
      <c r="E1346" s="73"/>
      <c r="F1346" s="76"/>
    </row>
    <row r="1347" spans="2:6">
      <c r="B1347" s="117"/>
      <c r="C1347" s="103"/>
      <c r="D1347" s="15"/>
      <c r="E1347" s="73"/>
      <c r="F1347" s="76"/>
    </row>
    <row r="1348" spans="2:6">
      <c r="B1348" s="117"/>
      <c r="C1348" s="103"/>
      <c r="D1348" s="15"/>
      <c r="E1348" s="73"/>
      <c r="F1348" s="76"/>
    </row>
    <row r="1349" spans="2:6">
      <c r="B1349" s="117"/>
      <c r="C1349" s="103"/>
      <c r="D1349" s="15"/>
      <c r="E1349" s="73"/>
      <c r="F1349" s="76"/>
    </row>
    <row r="1350" spans="2:6">
      <c r="B1350" s="117"/>
      <c r="C1350" s="103"/>
      <c r="D1350" s="15"/>
      <c r="E1350" s="73"/>
      <c r="F1350" s="76"/>
    </row>
    <row r="1351" spans="2:6">
      <c r="B1351" s="117"/>
      <c r="C1351" s="103"/>
      <c r="D1351" s="15"/>
      <c r="E1351" s="73"/>
      <c r="F1351" s="76"/>
    </row>
    <row r="1352" spans="2:6">
      <c r="B1352" s="117"/>
      <c r="C1352" s="103"/>
      <c r="D1352" s="15"/>
      <c r="E1352" s="73"/>
      <c r="F1352" s="76"/>
    </row>
    <row r="1353" spans="2:6">
      <c r="B1353" s="117"/>
      <c r="C1353" s="103"/>
      <c r="D1353" s="15"/>
      <c r="E1353" s="73"/>
      <c r="F1353" s="76"/>
    </row>
    <row r="1354" spans="2:6">
      <c r="B1354" s="117"/>
      <c r="C1354" s="103"/>
      <c r="D1354" s="15"/>
      <c r="E1354" s="73"/>
      <c r="F1354" s="76"/>
    </row>
    <row r="1355" spans="2:6">
      <c r="B1355" s="117"/>
      <c r="C1355" s="103"/>
      <c r="D1355" s="15"/>
      <c r="E1355" s="73"/>
      <c r="F1355" s="76"/>
    </row>
    <row r="1356" spans="2:6">
      <c r="B1356" s="117"/>
      <c r="C1356" s="103"/>
      <c r="D1356" s="15"/>
      <c r="E1356" s="73"/>
      <c r="F1356" s="76"/>
    </row>
    <row r="1357" spans="2:6">
      <c r="B1357" s="117"/>
      <c r="C1357" s="103"/>
      <c r="D1357" s="15"/>
      <c r="E1357" s="73"/>
      <c r="F1357" s="76"/>
    </row>
    <row r="1358" spans="2:6">
      <c r="B1358" s="117"/>
      <c r="C1358" s="103"/>
      <c r="D1358" s="15"/>
      <c r="E1358" s="73"/>
      <c r="F1358" s="76"/>
    </row>
    <row r="1359" spans="2:6">
      <c r="B1359" s="117"/>
      <c r="C1359" s="103"/>
      <c r="D1359" s="15"/>
      <c r="E1359" s="73"/>
      <c r="F1359" s="76"/>
    </row>
    <row r="1360" spans="2:6">
      <c r="B1360" s="117"/>
      <c r="C1360" s="103"/>
      <c r="D1360" s="15"/>
      <c r="E1360" s="73"/>
      <c r="F1360" s="76"/>
    </row>
    <row r="1361" spans="1:10">
      <c r="B1361" s="117"/>
      <c r="C1361" s="103"/>
      <c r="D1361" s="15"/>
      <c r="E1361" s="73"/>
      <c r="F1361" s="76"/>
    </row>
    <row r="1362" spans="1:10">
      <c r="B1362" s="117"/>
      <c r="C1362" s="103"/>
      <c r="D1362" s="15"/>
      <c r="E1362" s="73"/>
      <c r="F1362" s="76"/>
    </row>
    <row r="1363" spans="1:10">
      <c r="B1363" s="117"/>
      <c r="C1363" s="103"/>
      <c r="D1363" s="15"/>
      <c r="E1363" s="73"/>
      <c r="F1363" s="76"/>
    </row>
    <row r="1364" spans="1:10" ht="16.5" customHeight="1">
      <c r="B1364" s="117"/>
      <c r="C1364" s="103"/>
      <c r="D1364" s="15"/>
      <c r="E1364" s="73"/>
      <c r="F1364" s="76"/>
    </row>
    <row r="1365" spans="1:10" s="41" customFormat="1">
      <c r="A1365" s="5"/>
      <c r="B1365" s="117"/>
      <c r="C1365" s="103"/>
      <c r="D1365" s="103"/>
      <c r="E1365" s="103"/>
      <c r="F1365" s="103"/>
      <c r="G1365" s="5"/>
    </row>
    <row r="1366" spans="1:10">
      <c r="B1366" s="117"/>
      <c r="C1366" s="103"/>
      <c r="D1366" s="15"/>
      <c r="E1366" s="73"/>
      <c r="F1366" s="76"/>
    </row>
    <row r="1367" spans="1:10">
      <c r="B1367" s="117"/>
      <c r="C1367" s="103"/>
      <c r="D1367" s="15"/>
      <c r="E1367" s="73"/>
      <c r="F1367" s="76"/>
    </row>
    <row r="1368" spans="1:10">
      <c r="B1368" s="117"/>
      <c r="C1368" s="103"/>
      <c r="D1368" s="15"/>
      <c r="E1368" s="73"/>
      <c r="F1368" s="76"/>
    </row>
    <row r="1369" spans="1:10">
      <c r="B1369" s="117"/>
      <c r="C1369" s="103"/>
      <c r="D1369" s="15"/>
      <c r="E1369" s="73"/>
      <c r="F1369" s="76"/>
    </row>
    <row r="1370" spans="1:10">
      <c r="B1370" s="117"/>
      <c r="C1370" s="103"/>
      <c r="D1370" s="15"/>
      <c r="E1370" s="73"/>
      <c r="F1370" s="76"/>
    </row>
    <row r="1371" spans="1:10">
      <c r="B1371" s="117"/>
      <c r="C1371" s="103"/>
      <c r="D1371" s="15"/>
      <c r="E1371" s="73"/>
      <c r="F1371" s="76"/>
    </row>
    <row r="1372" spans="1:10">
      <c r="B1372" s="117"/>
      <c r="C1372" s="103"/>
      <c r="D1372" s="15"/>
      <c r="E1372" s="73"/>
      <c r="F1372" s="76"/>
    </row>
    <row r="1373" spans="1:10">
      <c r="B1373" s="117"/>
      <c r="C1373" s="103"/>
      <c r="D1373" s="15"/>
      <c r="E1373" s="73"/>
      <c r="F1373" s="76"/>
      <c r="H1373" s="5"/>
      <c r="I1373" s="5"/>
      <c r="J1373" s="5"/>
    </row>
    <row r="1374" spans="1:10">
      <c r="B1374" s="117"/>
      <c r="C1374" s="103"/>
      <c r="D1374" s="15"/>
      <c r="E1374" s="73"/>
      <c r="F1374" s="76"/>
      <c r="G1374" s="5"/>
      <c r="H1374" s="5"/>
      <c r="I1374" s="5"/>
      <c r="J1374" s="5"/>
    </row>
    <row r="1375" spans="1:10">
      <c r="B1375" s="117"/>
      <c r="C1375" s="103"/>
      <c r="D1375" s="15"/>
      <c r="E1375" s="73"/>
      <c r="F1375" s="76"/>
      <c r="G1375" s="5"/>
      <c r="H1375" s="5"/>
      <c r="I1375" s="5"/>
      <c r="J1375" s="5"/>
    </row>
    <row r="1376" spans="1:10">
      <c r="B1376" s="117"/>
      <c r="C1376" s="103"/>
      <c r="D1376" s="15"/>
      <c r="E1376" s="73"/>
      <c r="F1376" s="76"/>
    </row>
    <row r="1377" spans="2:6">
      <c r="B1377" s="117"/>
      <c r="C1377" s="103"/>
      <c r="D1377" s="15"/>
      <c r="E1377" s="73"/>
      <c r="F1377" s="76"/>
    </row>
    <row r="1378" spans="2:6">
      <c r="B1378" s="117"/>
      <c r="C1378" s="103"/>
      <c r="D1378" s="15"/>
      <c r="E1378" s="73"/>
      <c r="F1378" s="76"/>
    </row>
    <row r="1379" spans="2:6">
      <c r="B1379" s="117"/>
      <c r="C1379" s="103"/>
      <c r="D1379" s="15"/>
      <c r="E1379" s="73"/>
      <c r="F1379" s="76"/>
    </row>
    <row r="1380" spans="2:6">
      <c r="B1380" s="117"/>
      <c r="C1380" s="103"/>
      <c r="D1380" s="15"/>
      <c r="E1380" s="73"/>
      <c r="F1380" s="76"/>
    </row>
    <row r="1381" spans="2:6">
      <c r="B1381" s="117"/>
      <c r="C1381" s="103"/>
      <c r="D1381" s="15"/>
      <c r="E1381" s="73"/>
      <c r="F1381" s="76"/>
    </row>
    <row r="1382" spans="2:6">
      <c r="B1382" s="117"/>
      <c r="C1382" s="103"/>
      <c r="D1382" s="15"/>
      <c r="E1382" s="73"/>
      <c r="F1382" s="76"/>
    </row>
    <row r="1383" spans="2:6">
      <c r="B1383" s="117"/>
      <c r="C1383" s="103"/>
      <c r="D1383" s="15"/>
      <c r="E1383" s="73"/>
      <c r="F1383" s="76"/>
    </row>
    <row r="1384" spans="2:6">
      <c r="B1384" s="117"/>
      <c r="C1384" s="103"/>
      <c r="D1384" s="15"/>
      <c r="E1384" s="73"/>
      <c r="F1384" s="76"/>
    </row>
    <row r="1385" spans="2:6">
      <c r="B1385" s="117"/>
      <c r="C1385" s="103"/>
      <c r="D1385" s="15"/>
      <c r="E1385" s="73"/>
      <c r="F1385" s="76"/>
    </row>
    <row r="1386" spans="2:6">
      <c r="B1386" s="117"/>
      <c r="C1386" s="103"/>
      <c r="D1386" s="15"/>
      <c r="E1386" s="73"/>
      <c r="F1386" s="76"/>
    </row>
    <row r="1387" spans="2:6">
      <c r="B1387" s="117"/>
      <c r="C1387" s="103"/>
      <c r="D1387" s="15"/>
      <c r="E1387" s="73"/>
      <c r="F1387" s="76"/>
    </row>
    <row r="1388" spans="2:6">
      <c r="B1388" s="117"/>
      <c r="C1388" s="103"/>
      <c r="D1388" s="15"/>
      <c r="E1388" s="73"/>
      <c r="F1388" s="76"/>
    </row>
    <row r="1389" spans="2:6">
      <c r="B1389" s="117"/>
      <c r="C1389" s="103"/>
      <c r="D1389" s="15"/>
      <c r="E1389" s="73"/>
      <c r="F1389" s="76"/>
    </row>
    <row r="1390" spans="2:6">
      <c r="B1390" s="117"/>
      <c r="C1390" s="103"/>
      <c r="D1390" s="15"/>
      <c r="E1390" s="73"/>
      <c r="F1390" s="76"/>
    </row>
    <row r="1391" spans="2:6">
      <c r="B1391" s="117"/>
      <c r="C1391" s="103"/>
      <c r="D1391" s="15"/>
      <c r="E1391" s="73"/>
      <c r="F1391" s="76"/>
    </row>
    <row r="1392" spans="2:6">
      <c r="B1392" s="117"/>
      <c r="C1392" s="103"/>
      <c r="D1392" s="15"/>
      <c r="E1392" s="73"/>
      <c r="F1392" s="76"/>
    </row>
    <row r="1393" spans="2:12">
      <c r="B1393" s="117"/>
      <c r="C1393" s="103"/>
      <c r="D1393" s="15"/>
      <c r="E1393" s="73"/>
      <c r="F1393" s="76"/>
    </row>
    <row r="1394" spans="2:12">
      <c r="B1394" s="117"/>
      <c r="C1394" s="103"/>
      <c r="D1394" s="15"/>
      <c r="E1394" s="73"/>
      <c r="F1394" s="76"/>
    </row>
    <row r="1395" spans="2:12">
      <c r="B1395" s="117"/>
      <c r="C1395" s="103"/>
      <c r="D1395" s="15"/>
      <c r="E1395" s="73"/>
      <c r="F1395" s="76"/>
    </row>
    <row r="1396" spans="2:12">
      <c r="B1396" s="117"/>
      <c r="C1396" s="103"/>
      <c r="D1396" s="15"/>
      <c r="E1396" s="73"/>
      <c r="F1396" s="76"/>
    </row>
    <row r="1397" spans="2:12">
      <c r="B1397" s="117"/>
      <c r="C1397" s="103"/>
      <c r="D1397" s="15"/>
      <c r="E1397" s="73"/>
      <c r="F1397" s="76"/>
    </row>
    <row r="1398" spans="2:12">
      <c r="B1398" s="117"/>
      <c r="C1398" s="103"/>
      <c r="D1398" s="15"/>
      <c r="E1398" s="73"/>
      <c r="F1398" s="76"/>
    </row>
    <row r="1399" spans="2:12">
      <c r="B1399" s="117"/>
      <c r="C1399" s="103"/>
      <c r="D1399" s="15"/>
      <c r="E1399" s="73"/>
      <c r="F1399" s="76"/>
    </row>
    <row r="1400" spans="2:12">
      <c r="B1400" s="117"/>
      <c r="C1400" s="103"/>
      <c r="D1400" s="15"/>
      <c r="E1400" s="73"/>
      <c r="F1400" s="76"/>
      <c r="I1400" s="66" t="s">
        <v>44</v>
      </c>
      <c r="J1400" s="2">
        <v>3</v>
      </c>
      <c r="K1400" s="77" t="s">
        <v>45</v>
      </c>
      <c r="L1400" s="5"/>
    </row>
    <row r="1401" spans="2:12">
      <c r="B1401" s="117"/>
      <c r="C1401" s="103"/>
      <c r="D1401" s="15"/>
      <c r="E1401" s="73"/>
      <c r="F1401" s="76"/>
      <c r="I1401" s="66" t="s">
        <v>46</v>
      </c>
      <c r="J1401" s="2">
        <v>4</v>
      </c>
      <c r="K1401" s="5"/>
      <c r="L1401" s="5"/>
    </row>
    <row r="1402" spans="2:12">
      <c r="B1402" s="117"/>
      <c r="C1402" s="103"/>
      <c r="D1402" s="15"/>
      <c r="E1402" s="73"/>
      <c r="F1402" s="76"/>
      <c r="I1402" s="66"/>
      <c r="J1402" s="2"/>
    </row>
    <row r="1403" spans="2:12">
      <c r="B1403" s="117"/>
      <c r="C1403" s="103"/>
      <c r="D1403" s="15"/>
      <c r="E1403" s="73"/>
      <c r="F1403" s="76"/>
      <c r="I1403" s="66"/>
      <c r="J1403" s="2"/>
    </row>
    <row r="1404" spans="2:12">
      <c r="B1404" s="117"/>
      <c r="C1404" s="103"/>
      <c r="D1404" s="15"/>
      <c r="E1404" s="73"/>
      <c r="F1404" s="76"/>
      <c r="I1404" s="66"/>
      <c r="J1404" s="2"/>
    </row>
    <row r="1405" spans="2:12">
      <c r="B1405" s="117"/>
      <c r="C1405" s="103"/>
      <c r="D1405" s="15"/>
      <c r="E1405" s="73"/>
      <c r="F1405" s="76"/>
      <c r="I1405" s="66" t="s">
        <v>47</v>
      </c>
      <c r="J1405" s="2">
        <v>4</v>
      </c>
    </row>
    <row r="1406" spans="2:12">
      <c r="B1406" s="117"/>
      <c r="C1406" s="103"/>
      <c r="D1406" s="15"/>
      <c r="E1406" s="73"/>
      <c r="F1406" s="76"/>
      <c r="I1406" s="66"/>
      <c r="J1406" s="2"/>
    </row>
    <row r="1407" spans="2:12">
      <c r="B1407" s="117"/>
      <c r="C1407" s="103"/>
      <c r="D1407" s="15"/>
      <c r="E1407" s="73"/>
      <c r="F1407" s="76"/>
      <c r="I1407" s="66" t="s">
        <v>48</v>
      </c>
      <c r="J1407" s="2">
        <v>4</v>
      </c>
      <c r="K1407" t="s">
        <v>381</v>
      </c>
    </row>
    <row r="1408" spans="2:12">
      <c r="B1408" s="117"/>
      <c r="C1408" s="103"/>
      <c r="D1408" s="15"/>
      <c r="E1408" s="73"/>
      <c r="F1408" s="76"/>
      <c r="I1408" s="66" t="s">
        <v>49</v>
      </c>
      <c r="J1408" s="2">
        <v>4</v>
      </c>
      <c r="K1408" t="s">
        <v>382</v>
      </c>
    </row>
    <row r="1409" spans="2:11">
      <c r="B1409" s="117"/>
      <c r="C1409" s="103"/>
      <c r="D1409" s="15"/>
      <c r="E1409" s="73"/>
      <c r="F1409" s="76"/>
      <c r="I1409" s="66"/>
      <c r="J1409" s="2"/>
    </row>
    <row r="1410" spans="2:11">
      <c r="B1410" s="117"/>
      <c r="C1410" s="103"/>
      <c r="D1410" s="15"/>
      <c r="E1410" s="73"/>
      <c r="F1410" s="76"/>
      <c r="I1410" s="66"/>
      <c r="J1410" s="2"/>
    </row>
    <row r="1411" spans="2:11">
      <c r="B1411" s="117"/>
      <c r="C1411" s="103"/>
      <c r="D1411" s="15"/>
      <c r="E1411" s="73"/>
      <c r="F1411" s="76"/>
      <c r="I1411" s="66"/>
      <c r="J1411" s="2"/>
    </row>
    <row r="1412" spans="2:11">
      <c r="B1412" s="117"/>
      <c r="C1412" s="103"/>
      <c r="D1412" s="15"/>
      <c r="E1412" s="73"/>
      <c r="F1412" s="76"/>
      <c r="I1412" s="66"/>
      <c r="J1412" s="2"/>
    </row>
    <row r="1413" spans="2:11">
      <c r="B1413" s="117"/>
      <c r="C1413" s="103"/>
      <c r="D1413" s="15"/>
      <c r="E1413" s="73"/>
      <c r="F1413" s="76"/>
      <c r="I1413" s="66"/>
      <c r="J1413" s="2"/>
    </row>
    <row r="1414" spans="2:11">
      <c r="B1414" s="117"/>
      <c r="C1414" s="103"/>
      <c r="D1414" s="15"/>
      <c r="E1414" s="73"/>
      <c r="F1414" s="76"/>
      <c r="I1414" s="66"/>
      <c r="J1414" s="2"/>
    </row>
    <row r="1415" spans="2:11">
      <c r="B1415" s="117"/>
      <c r="C1415" s="103"/>
      <c r="D1415" s="15"/>
      <c r="E1415" s="73"/>
      <c r="F1415" s="76"/>
      <c r="I1415" s="66"/>
      <c r="J1415" s="2"/>
    </row>
    <row r="1416" spans="2:11">
      <c r="B1416" s="117"/>
      <c r="C1416" s="103"/>
      <c r="D1416" s="15"/>
      <c r="E1416" s="73"/>
      <c r="F1416" s="76"/>
      <c r="I1416" s="66"/>
      <c r="J1416" s="2"/>
    </row>
    <row r="1417" spans="2:11">
      <c r="B1417" s="117"/>
      <c r="C1417" s="103"/>
      <c r="D1417" s="15"/>
      <c r="E1417" s="73"/>
      <c r="F1417" s="76"/>
      <c r="I1417" s="66"/>
      <c r="J1417" s="2"/>
    </row>
    <row r="1418" spans="2:11">
      <c r="B1418" s="117"/>
      <c r="C1418" s="103"/>
      <c r="D1418" s="15"/>
      <c r="E1418" s="73"/>
      <c r="F1418" s="76"/>
      <c r="I1418" s="66"/>
      <c r="J1418" s="2"/>
    </row>
    <row r="1419" spans="2:11">
      <c r="B1419" s="117"/>
      <c r="C1419" s="103"/>
      <c r="D1419" s="15"/>
      <c r="E1419" s="73"/>
      <c r="F1419" s="76"/>
      <c r="I1419" s="66" t="s">
        <v>50</v>
      </c>
      <c r="J1419" s="2">
        <v>4</v>
      </c>
    </row>
    <row r="1420" spans="2:11">
      <c r="B1420" s="117"/>
      <c r="C1420" s="103"/>
      <c r="D1420" s="15"/>
      <c r="E1420" s="73"/>
      <c r="F1420" s="76"/>
      <c r="I1420" s="2" t="s">
        <v>51</v>
      </c>
      <c r="J1420" s="2">
        <v>1</v>
      </c>
      <c r="K1420" t="s">
        <v>383</v>
      </c>
    </row>
    <row r="1421" spans="2:11">
      <c r="B1421" s="117"/>
      <c r="C1421" s="103"/>
      <c r="D1421" s="15"/>
      <c r="E1421" s="73"/>
      <c r="F1421" s="76"/>
      <c r="I1421" s="2"/>
      <c r="J1421" s="2"/>
    </row>
    <row r="1422" spans="2:11">
      <c r="B1422" s="5"/>
      <c r="C1422" s="5"/>
      <c r="D1422" s="125"/>
      <c r="E1422" s="126"/>
      <c r="F1422" s="127"/>
      <c r="G1422" s="5"/>
      <c r="I1422" s="2"/>
      <c r="J1422" s="2"/>
    </row>
    <row r="1423" spans="2:11">
      <c r="B1423" s="5"/>
      <c r="C1423" s="5"/>
      <c r="D1423" s="125"/>
      <c r="E1423" s="126"/>
      <c r="F1423" s="127"/>
      <c r="G1423" s="5"/>
      <c r="I1423" s="2"/>
      <c r="J1423" s="2"/>
    </row>
    <row r="1424" spans="2:11">
      <c r="B1424" s="5"/>
      <c r="C1424" s="5"/>
      <c r="D1424" s="125"/>
      <c r="E1424" s="126"/>
      <c r="F1424" s="127"/>
      <c r="G1424" s="5"/>
      <c r="I1424" s="2"/>
      <c r="J1424" s="2"/>
    </row>
    <row r="1425" spans="2:10">
      <c r="B1425" s="5"/>
      <c r="C1425" s="5"/>
      <c r="D1425" s="125"/>
      <c r="E1425" s="126"/>
      <c r="F1425" s="127"/>
      <c r="G1425" s="5"/>
      <c r="I1425" s="2"/>
      <c r="J1425" s="2"/>
    </row>
    <row r="1426" spans="2:10">
      <c r="B1426" s="5"/>
      <c r="C1426" s="5"/>
      <c r="D1426" s="125"/>
      <c r="E1426" s="126"/>
      <c r="F1426" s="127"/>
      <c r="G1426" s="5"/>
      <c r="I1426" s="2"/>
      <c r="J1426" s="2"/>
    </row>
    <row r="1427" spans="2:10">
      <c r="B1427" s="5"/>
      <c r="C1427" s="5"/>
      <c r="D1427" s="125"/>
      <c r="E1427" s="126"/>
      <c r="F1427" s="127"/>
      <c r="G1427" s="5"/>
      <c r="I1427" s="2"/>
      <c r="J1427" s="2"/>
    </row>
    <row r="1428" spans="2:10">
      <c r="B1428" s="5"/>
      <c r="C1428" s="5"/>
      <c r="D1428" s="125"/>
      <c r="E1428" s="126"/>
      <c r="F1428" s="127"/>
      <c r="G1428" s="5"/>
      <c r="I1428" s="2"/>
      <c r="J1428" s="2"/>
    </row>
    <row r="1429" spans="2:10">
      <c r="B1429" s="5"/>
      <c r="C1429" s="5"/>
      <c r="D1429" s="125"/>
      <c r="E1429" s="126"/>
      <c r="F1429" s="127"/>
      <c r="G1429" s="5"/>
      <c r="I1429" s="2"/>
      <c r="J1429" s="2"/>
    </row>
    <row r="1430" spans="2:10">
      <c r="B1430" s="5"/>
      <c r="C1430" s="5"/>
      <c r="D1430" s="125"/>
      <c r="E1430" s="126"/>
      <c r="F1430" s="127"/>
      <c r="G1430" s="5"/>
      <c r="I1430" s="2"/>
      <c r="J1430" s="2"/>
    </row>
    <row r="1431" spans="2:10">
      <c r="B1431" s="5"/>
      <c r="C1431" s="5"/>
      <c r="D1431" s="125"/>
      <c r="E1431" s="126"/>
      <c r="F1431" s="127"/>
      <c r="G1431" s="5"/>
      <c r="I1431" s="66" t="s">
        <v>297</v>
      </c>
      <c r="J1431" s="66">
        <v>2</v>
      </c>
    </row>
    <row r="1432" spans="2:10">
      <c r="B1432" s="5"/>
      <c r="C1432" s="5"/>
      <c r="D1432" s="125"/>
      <c r="E1432" s="126"/>
      <c r="F1432" s="127"/>
      <c r="G1432" s="5"/>
      <c r="I1432" s="66"/>
      <c r="J1432" s="66"/>
    </row>
    <row r="1433" spans="2:10">
      <c r="B1433" s="5"/>
      <c r="C1433" s="5"/>
      <c r="D1433" s="125"/>
      <c r="E1433" s="126"/>
      <c r="F1433" s="127"/>
      <c r="G1433" s="5"/>
      <c r="I1433" s="66"/>
      <c r="J1433" s="66"/>
    </row>
    <row r="1434" spans="2:10">
      <c r="B1434" s="5"/>
      <c r="C1434" s="5"/>
      <c r="D1434" s="125"/>
      <c r="E1434" s="126"/>
      <c r="F1434" s="127"/>
      <c r="G1434" s="5"/>
      <c r="I1434" s="66"/>
      <c r="J1434" s="66"/>
    </row>
    <row r="1435" spans="2:10">
      <c r="B1435" s="5"/>
      <c r="C1435" s="5"/>
      <c r="D1435" s="125"/>
      <c r="E1435" s="126"/>
      <c r="F1435" s="127"/>
      <c r="G1435" s="5"/>
      <c r="I1435" s="66"/>
      <c r="J1435" s="66"/>
    </row>
    <row r="1436" spans="2:10">
      <c r="B1436" s="5"/>
      <c r="C1436" s="5"/>
      <c r="D1436" s="125"/>
      <c r="E1436" s="126"/>
      <c r="F1436" s="127"/>
      <c r="G1436" s="5"/>
      <c r="I1436" s="66"/>
      <c r="J1436" s="66"/>
    </row>
    <row r="1437" spans="2:10">
      <c r="B1437" s="5"/>
      <c r="C1437" s="5"/>
      <c r="D1437" s="125"/>
      <c r="E1437" s="126"/>
      <c r="F1437" s="127"/>
      <c r="G1437" s="5"/>
      <c r="I1437" s="66"/>
      <c r="J1437" s="66"/>
    </row>
    <row r="1438" spans="2:10">
      <c r="B1438" s="5"/>
      <c r="C1438" s="5"/>
      <c r="D1438" s="125"/>
      <c r="E1438" s="126"/>
      <c r="F1438" s="127"/>
      <c r="G1438" s="5"/>
      <c r="I1438" s="66"/>
      <c r="J1438" s="66"/>
    </row>
    <row r="1439" spans="2:10">
      <c r="B1439" s="5"/>
      <c r="C1439" s="5"/>
      <c r="D1439" s="125"/>
      <c r="E1439" s="126"/>
      <c r="F1439" s="127"/>
      <c r="G1439" s="5"/>
      <c r="I1439" s="66"/>
      <c r="J1439" s="66"/>
    </row>
    <row r="1440" spans="2:10">
      <c r="B1440" s="5"/>
      <c r="C1440" s="5"/>
      <c r="D1440" s="125"/>
      <c r="E1440" s="126"/>
      <c r="F1440" s="127"/>
      <c r="G1440" s="5"/>
      <c r="I1440" s="66"/>
      <c r="J1440" s="66"/>
    </row>
    <row r="1441" spans="1:32">
      <c r="B1441" s="5"/>
      <c r="C1441" s="5"/>
      <c r="D1441" s="125"/>
      <c r="E1441" s="126"/>
      <c r="F1441" s="127"/>
      <c r="G1441" s="5"/>
      <c r="I1441" s="66"/>
      <c r="J1441" s="66"/>
    </row>
    <row r="1442" spans="1:32">
      <c r="B1442" s="5"/>
      <c r="C1442" s="5"/>
      <c r="D1442" s="125"/>
      <c r="E1442" s="126"/>
      <c r="F1442" s="127"/>
      <c r="G1442" s="5"/>
      <c r="I1442" s="66"/>
      <c r="J1442" s="66"/>
    </row>
    <row r="1443" spans="1:32" ht="15.75">
      <c r="B1443" s="5"/>
      <c r="C1443" s="5"/>
      <c r="D1443" s="125"/>
      <c r="E1443" s="126"/>
      <c r="F1443" s="128"/>
      <c r="G1443" s="5"/>
      <c r="I1443" s="66" t="s">
        <v>52</v>
      </c>
      <c r="J1443" s="2">
        <v>2</v>
      </c>
    </row>
    <row r="1444" spans="1:32" s="4" customFormat="1">
      <c r="A1444" s="5"/>
      <c r="B1444" s="5"/>
      <c r="C1444" s="5"/>
      <c r="D1444" s="5"/>
      <c r="E1444" s="5"/>
      <c r="F1444" s="127"/>
      <c r="G1444" s="5"/>
      <c r="H1444"/>
      <c r="I1444" s="66" t="s">
        <v>53</v>
      </c>
      <c r="J1444" s="2">
        <v>1</v>
      </c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</row>
    <row r="1445" spans="1:32" s="4" customFormat="1">
      <c r="A1445" s="5"/>
      <c r="B1445" s="5"/>
      <c r="C1445" s="5"/>
      <c r="D1445" s="5"/>
      <c r="E1445" s="5"/>
      <c r="F1445" s="127"/>
      <c r="G1445" s="5"/>
      <c r="H1445"/>
      <c r="I1445" s="67" t="s">
        <v>54</v>
      </c>
      <c r="J1445" s="2">
        <v>4</v>
      </c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</row>
    <row r="1446" spans="1:32" s="4" customFormat="1">
      <c r="A1446" s="5"/>
      <c r="B1446" s="5"/>
      <c r="C1446" s="5"/>
      <c r="D1446" s="5"/>
      <c r="E1446" s="5"/>
      <c r="F1446" s="127"/>
      <c r="G1446" s="5" t="s">
        <v>89</v>
      </c>
      <c r="H1446"/>
      <c r="I1446" s="67" t="s">
        <v>55</v>
      </c>
      <c r="J1446" s="2">
        <v>2</v>
      </c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</row>
    <row r="1447" spans="1:32" s="4" customFormat="1">
      <c r="A1447" s="5"/>
      <c r="B1447" s="5"/>
      <c r="C1447" s="5"/>
      <c r="D1447" s="5"/>
      <c r="E1447" s="5"/>
      <c r="F1447" s="127"/>
      <c r="G1447" s="5"/>
      <c r="H1447"/>
      <c r="I1447" s="67" t="s">
        <v>56</v>
      </c>
      <c r="J1447" s="2">
        <v>2</v>
      </c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</row>
    <row r="1448" spans="1:32" s="4" customFormat="1">
      <c r="A1448" s="5"/>
      <c r="B1448" s="5"/>
      <c r="C1448" s="5"/>
      <c r="D1448" s="5"/>
      <c r="E1448" s="5"/>
      <c r="F1448" s="127"/>
      <c r="G1448" s="5"/>
      <c r="H1448"/>
      <c r="I1448" s="67" t="s">
        <v>57</v>
      </c>
      <c r="J1448" s="8" t="s">
        <v>206</v>
      </c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</row>
    <row r="1449" spans="1:32" s="4" customFormat="1">
      <c r="A1449" s="5"/>
      <c r="B1449" s="5"/>
      <c r="C1449" s="5"/>
      <c r="D1449" s="5"/>
      <c r="E1449" s="5"/>
      <c r="F1449" s="127"/>
      <c r="G1449" s="5"/>
      <c r="H1449"/>
      <c r="I1449" s="2" t="s">
        <v>58</v>
      </c>
      <c r="J1449" s="2">
        <v>2</v>
      </c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</row>
    <row r="1450" spans="1:32" s="4" customFormat="1">
      <c r="A1450" s="5"/>
      <c r="B1450" s="5"/>
      <c r="C1450" s="5"/>
      <c r="D1450" s="5"/>
      <c r="E1450" s="5"/>
      <c r="F1450" s="127"/>
      <c r="G1450" s="5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</row>
    <row r="1451" spans="1:32" s="4" customFormat="1">
      <c r="A1451" s="5"/>
      <c r="B1451" s="5"/>
      <c r="C1451" s="5"/>
      <c r="D1451" s="5"/>
      <c r="E1451" s="5"/>
      <c r="F1451" s="127"/>
      <c r="G1451" s="5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</row>
    <row r="1452" spans="1:32" s="4" customFormat="1">
      <c r="A1452" s="5"/>
      <c r="B1452" s="5"/>
      <c r="C1452" s="5"/>
      <c r="D1452" s="5"/>
      <c r="E1452" s="5"/>
      <c r="F1452" s="127"/>
      <c r="G1452" s="5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</row>
    <row r="1453" spans="1:32" s="4" customFormat="1">
      <c r="A1453" s="5"/>
      <c r="B1453" s="5"/>
      <c r="C1453" s="5"/>
      <c r="D1453" s="5"/>
      <c r="E1453" s="5"/>
      <c r="F1453" s="127"/>
      <c r="G1453" s="5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</row>
    <row r="1454" spans="1:32" s="4" customFormat="1">
      <c r="A1454" s="5"/>
      <c r="B1454" s="5"/>
      <c r="C1454" s="5"/>
      <c r="D1454" s="5"/>
      <c r="E1454" s="5"/>
      <c r="F1454" s="127"/>
      <c r="G1454" s="5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</row>
    <row r="1455" spans="1:32" s="5" customFormat="1">
      <c r="F1455" s="127"/>
    </row>
    <row r="1456" spans="1:32" s="4" customFormat="1" ht="15.75">
      <c r="A1456" s="5"/>
      <c r="B1456" s="5"/>
      <c r="C1456" s="5"/>
      <c r="D1456" s="5"/>
      <c r="E1456" s="5"/>
      <c r="F1456" s="128"/>
      <c r="G1456" s="5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</row>
    <row r="1457" spans="1:32" s="4" customFormat="1">
      <c r="A1457" s="5"/>
      <c r="B1457" s="5"/>
      <c r="C1457" s="5"/>
      <c r="D1457" s="5"/>
      <c r="E1457" s="5"/>
      <c r="F1457" s="118"/>
      <c r="G1457" s="5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</row>
    <row r="1458" spans="1:32" s="4" customFormat="1">
      <c r="A1458" s="5"/>
      <c r="B1458" s="5"/>
      <c r="C1458" s="5"/>
      <c r="D1458" s="5"/>
      <c r="E1458" s="5"/>
      <c r="F1458" s="118"/>
      <c r="G1458" s="5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</row>
    <row r="1459" spans="1:32" s="4" customFormat="1">
      <c r="A1459" s="5"/>
      <c r="B1459" s="5"/>
      <c r="C1459" s="5"/>
      <c r="D1459" s="5"/>
      <c r="E1459" s="5"/>
      <c r="F1459" s="118"/>
      <c r="G1459" s="5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</row>
    <row r="1460" spans="1:32" s="4" customFormat="1">
      <c r="A1460" s="5"/>
      <c r="B1460" s="5"/>
      <c r="C1460" s="5"/>
      <c r="D1460" s="5"/>
      <c r="E1460" s="5"/>
      <c r="F1460" s="118"/>
      <c r="G1460" s="5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</row>
    <row r="1461" spans="1:32" s="4" customFormat="1">
      <c r="A1461" s="5"/>
      <c r="B1461" s="5"/>
      <c r="C1461" s="5"/>
      <c r="D1461" s="5"/>
      <c r="E1461" s="5"/>
      <c r="F1461" s="5"/>
      <c r="G1461" s="5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</row>
    <row r="1462" spans="1:32" s="4" customFormat="1">
      <c r="A1462" s="5"/>
      <c r="B1462" s="5"/>
      <c r="C1462" s="5"/>
      <c r="D1462" s="5"/>
      <c r="E1462" s="5"/>
      <c r="F1462" s="5"/>
      <c r="G1462" s="5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</row>
    <row r="1463" spans="1:32">
      <c r="B1463" s="5"/>
      <c r="C1463" s="5"/>
      <c r="D1463" s="125"/>
      <c r="E1463" s="126"/>
      <c r="F1463" s="127"/>
      <c r="G1463" s="5"/>
    </row>
    <row r="1464" spans="1:32">
      <c r="B1464" s="5"/>
      <c r="C1464" s="5"/>
      <c r="D1464" s="125"/>
      <c r="E1464" s="126"/>
      <c r="F1464" s="127"/>
      <c r="G1464" s="5"/>
    </row>
    <row r="1465" spans="1:32">
      <c r="B1465" s="5"/>
      <c r="C1465" s="5"/>
      <c r="D1465" s="125"/>
      <c r="E1465" s="126"/>
      <c r="F1465" s="127"/>
      <c r="G1465" s="5"/>
    </row>
    <row r="1466" spans="1:32">
      <c r="B1466" s="5"/>
      <c r="C1466" s="5"/>
      <c r="D1466" s="125"/>
      <c r="E1466" s="126"/>
      <c r="F1466" s="127"/>
      <c r="G1466" s="5"/>
    </row>
    <row r="1467" spans="1:32">
      <c r="B1467" s="5"/>
      <c r="C1467" s="5"/>
      <c r="D1467" s="125"/>
      <c r="E1467" s="126"/>
      <c r="F1467" s="127"/>
      <c r="G1467" s="5"/>
    </row>
    <row r="1468" spans="1:32">
      <c r="B1468" s="5"/>
      <c r="C1468" s="5"/>
      <c r="D1468" s="125"/>
      <c r="E1468" s="126"/>
      <c r="F1468" s="127"/>
      <c r="G1468" s="5"/>
    </row>
    <row r="1469" spans="1:32">
      <c r="B1469" s="5"/>
      <c r="C1469" s="5"/>
      <c r="D1469" s="125"/>
      <c r="E1469" s="126"/>
      <c r="F1469" s="127"/>
      <c r="G1469" s="5"/>
    </row>
    <row r="1470" spans="1:32">
      <c r="B1470" s="5"/>
      <c r="C1470" s="5"/>
      <c r="D1470" s="125"/>
      <c r="E1470" s="126"/>
      <c r="F1470" s="127"/>
      <c r="G1470" s="5"/>
    </row>
    <row r="1471" spans="1:32">
      <c r="B1471" s="5"/>
      <c r="C1471" s="5"/>
      <c r="D1471" s="125"/>
      <c r="E1471" s="126"/>
      <c r="F1471" s="127"/>
      <c r="G1471" s="5"/>
    </row>
    <row r="1472" spans="1:32">
      <c r="B1472" s="5"/>
      <c r="C1472" s="5"/>
      <c r="D1472" s="125"/>
      <c r="E1472" s="126"/>
      <c r="F1472" s="127"/>
      <c r="G1472" s="5"/>
    </row>
    <row r="1473" spans="2:7">
      <c r="B1473" s="5"/>
      <c r="C1473" s="5"/>
      <c r="D1473" s="125"/>
      <c r="E1473" s="126"/>
      <c r="F1473" s="127"/>
      <c r="G1473" s="5"/>
    </row>
    <row r="1474" spans="2:7" ht="14.25" customHeight="1">
      <c r="B1474" s="5"/>
      <c r="C1474" s="5"/>
      <c r="D1474" s="125"/>
      <c r="E1474" s="126"/>
      <c r="F1474" s="127"/>
      <c r="G1474" s="5"/>
    </row>
    <row r="1475" spans="2:7" ht="14.25" customHeight="1">
      <c r="B1475" s="5"/>
      <c r="C1475" s="5"/>
      <c r="D1475" s="125"/>
      <c r="E1475" s="126"/>
      <c r="F1475" s="127"/>
      <c r="G1475" s="5"/>
    </row>
    <row r="1476" spans="2:7" ht="14.25" customHeight="1">
      <c r="B1476" s="5"/>
      <c r="C1476" s="5"/>
      <c r="D1476" s="125"/>
      <c r="E1476" s="126"/>
      <c r="F1476" s="127"/>
      <c r="G1476" s="5"/>
    </row>
    <row r="1477" spans="2:7" ht="14.25" customHeight="1">
      <c r="B1477" s="5"/>
      <c r="C1477" s="5"/>
      <c r="D1477" s="125"/>
      <c r="E1477" s="126"/>
      <c r="F1477" s="127"/>
      <c r="G1477" s="5"/>
    </row>
    <row r="1478" spans="2:7">
      <c r="B1478" s="5"/>
      <c r="C1478" s="5"/>
      <c r="D1478" s="125"/>
      <c r="E1478" s="126"/>
      <c r="F1478" s="127"/>
      <c r="G1478" s="5"/>
    </row>
    <row r="1479" spans="2:7">
      <c r="B1479" s="5"/>
      <c r="C1479" s="5"/>
      <c r="D1479" s="125"/>
      <c r="E1479" s="126"/>
      <c r="F1479" s="127"/>
      <c r="G1479" s="5"/>
    </row>
    <row r="1480" spans="2:7">
      <c r="B1480" s="5"/>
      <c r="C1480" s="5"/>
      <c r="D1480" s="125"/>
      <c r="E1480" s="126"/>
      <c r="F1480" s="127"/>
      <c r="G1480" s="5"/>
    </row>
    <row r="1481" spans="2:7">
      <c r="B1481" s="5"/>
      <c r="C1481" s="5"/>
      <c r="D1481" s="125"/>
      <c r="E1481" s="126"/>
      <c r="F1481" s="127"/>
      <c r="G1481" s="5"/>
    </row>
    <row r="1482" spans="2:7">
      <c r="B1482" s="5"/>
      <c r="C1482" s="5"/>
      <c r="D1482" s="125"/>
      <c r="E1482" s="126"/>
      <c r="F1482" s="127"/>
      <c r="G1482" s="5"/>
    </row>
    <row r="1483" spans="2:7">
      <c r="B1483" s="5"/>
      <c r="C1483" s="5"/>
      <c r="D1483" s="125"/>
      <c r="E1483" s="126"/>
      <c r="F1483" s="127"/>
      <c r="G1483" s="5"/>
    </row>
    <row r="1484" spans="2:7">
      <c r="B1484" s="5"/>
      <c r="C1484" s="5"/>
      <c r="D1484" s="125"/>
      <c r="E1484" s="126"/>
      <c r="F1484" s="127"/>
      <c r="G1484" s="5"/>
    </row>
    <row r="1485" spans="2:7">
      <c r="B1485" s="5"/>
      <c r="C1485" s="5"/>
      <c r="D1485" s="125"/>
      <c r="E1485" s="126"/>
      <c r="F1485" s="127"/>
      <c r="G1485" s="5"/>
    </row>
    <row r="1486" spans="2:7">
      <c r="B1486" s="5"/>
      <c r="C1486" s="5"/>
      <c r="D1486" s="125"/>
      <c r="E1486" s="126"/>
      <c r="F1486" s="127"/>
      <c r="G1486" s="5"/>
    </row>
    <row r="1487" spans="2:7">
      <c r="B1487" s="5"/>
      <c r="C1487" s="5"/>
      <c r="D1487" s="125"/>
      <c r="E1487" s="126"/>
      <c r="F1487" s="127"/>
      <c r="G1487" s="5"/>
    </row>
    <row r="1488" spans="2:7">
      <c r="B1488" s="5"/>
      <c r="C1488" s="5"/>
      <c r="D1488" s="125"/>
      <c r="E1488" s="126"/>
      <c r="F1488" s="127"/>
      <c r="G1488" s="5"/>
    </row>
    <row r="1489" spans="2:7">
      <c r="B1489" s="5"/>
      <c r="C1489" s="5"/>
      <c r="D1489" s="125"/>
      <c r="E1489" s="126"/>
      <c r="F1489" s="127"/>
      <c r="G1489" s="5"/>
    </row>
    <row r="1490" spans="2:7">
      <c r="B1490" s="5"/>
      <c r="C1490" s="5"/>
      <c r="D1490" s="125"/>
      <c r="E1490" s="126"/>
      <c r="F1490" s="127"/>
      <c r="G1490" s="5"/>
    </row>
    <row r="1491" spans="2:7">
      <c r="B1491" s="5"/>
      <c r="C1491" s="5"/>
      <c r="D1491" s="125"/>
      <c r="E1491" s="126"/>
      <c r="F1491" s="127"/>
      <c r="G1491" s="5"/>
    </row>
    <row r="1492" spans="2:7">
      <c r="B1492" s="5"/>
      <c r="C1492" s="5"/>
      <c r="D1492" s="125"/>
      <c r="E1492" s="126"/>
      <c r="F1492" s="127"/>
      <c r="G1492" s="5"/>
    </row>
    <row r="1493" spans="2:7">
      <c r="B1493" s="5"/>
      <c r="C1493" s="5"/>
      <c r="D1493" s="125"/>
      <c r="E1493" s="126"/>
      <c r="F1493" s="127"/>
      <c r="G1493" s="5"/>
    </row>
    <row r="1494" spans="2:7" ht="12.75" customHeight="1">
      <c r="B1494" s="5"/>
      <c r="C1494" s="5"/>
      <c r="D1494" s="125"/>
      <c r="E1494" s="126"/>
      <c r="F1494" s="127"/>
      <c r="G1494" s="5"/>
    </row>
    <row r="1495" spans="2:7" ht="12.75" customHeight="1">
      <c r="B1495" s="5"/>
      <c r="C1495" s="5"/>
      <c r="D1495" s="125"/>
      <c r="E1495" s="126"/>
      <c r="F1495" s="127"/>
      <c r="G1495" s="5"/>
    </row>
    <row r="1496" spans="2:7" ht="12.75" customHeight="1">
      <c r="B1496" s="5"/>
      <c r="C1496" s="5"/>
      <c r="D1496" s="125"/>
      <c r="E1496" s="126"/>
      <c r="F1496" s="127"/>
      <c r="G1496" s="5"/>
    </row>
    <row r="1497" spans="2:7" ht="12.75" customHeight="1">
      <c r="B1497" s="5"/>
      <c r="C1497" s="5"/>
      <c r="D1497" s="125"/>
      <c r="E1497" s="126"/>
      <c r="F1497" s="127"/>
      <c r="G1497" s="5"/>
    </row>
    <row r="1498" spans="2:7" ht="12.75" customHeight="1">
      <c r="B1498" s="5"/>
      <c r="C1498" s="5"/>
      <c r="D1498" s="125"/>
      <c r="E1498" s="126"/>
      <c r="F1498" s="127"/>
      <c r="G1498" s="5"/>
    </row>
    <row r="1499" spans="2:7" ht="18" customHeight="1">
      <c r="B1499" s="5"/>
      <c r="C1499" s="5"/>
      <c r="D1499" s="125"/>
      <c r="E1499" s="126"/>
      <c r="F1499" s="127"/>
      <c r="G1499" s="5"/>
    </row>
    <row r="1500" spans="2:7" ht="14.25" customHeight="1">
      <c r="B1500" s="5"/>
      <c r="C1500" s="5"/>
      <c r="D1500" s="125"/>
      <c r="E1500" s="126"/>
      <c r="F1500" s="127"/>
      <c r="G1500" s="5"/>
    </row>
    <row r="1501" spans="2:7" ht="19.5" customHeight="1">
      <c r="B1501" s="5"/>
      <c r="C1501" s="5"/>
      <c r="D1501" s="125"/>
      <c r="E1501" s="126"/>
      <c r="F1501" s="127"/>
      <c r="G1501" s="5"/>
    </row>
    <row r="1502" spans="2:7">
      <c r="B1502" s="5"/>
      <c r="C1502" s="5"/>
      <c r="D1502" s="125"/>
      <c r="E1502" s="126"/>
      <c r="F1502" s="127"/>
      <c r="G1502" s="5"/>
    </row>
    <row r="1503" spans="2:7">
      <c r="B1503" s="5"/>
      <c r="C1503" s="5"/>
      <c r="D1503" s="125"/>
      <c r="E1503" s="126"/>
      <c r="F1503" s="127"/>
      <c r="G1503" s="5"/>
    </row>
    <row r="1504" spans="2:7">
      <c r="B1504" s="5"/>
      <c r="C1504" s="5"/>
      <c r="D1504" s="125"/>
      <c r="E1504" s="126"/>
      <c r="F1504" s="127"/>
      <c r="G1504" s="5"/>
    </row>
    <row r="1505" spans="2:7">
      <c r="B1505" s="5"/>
      <c r="C1505" s="5"/>
      <c r="D1505" s="125"/>
      <c r="E1505" s="126"/>
      <c r="F1505" s="127"/>
      <c r="G1505" s="5"/>
    </row>
    <row r="1506" spans="2:7">
      <c r="B1506" s="5"/>
      <c r="C1506" s="5"/>
      <c r="D1506" s="125"/>
      <c r="E1506" s="126"/>
      <c r="F1506" s="127"/>
      <c r="G1506" s="5"/>
    </row>
    <row r="1507" spans="2:7">
      <c r="B1507" s="5"/>
      <c r="C1507" s="5"/>
      <c r="D1507" s="125"/>
      <c r="E1507" s="126"/>
      <c r="F1507" s="127"/>
      <c r="G1507" s="5"/>
    </row>
    <row r="1508" spans="2:7">
      <c r="B1508" s="5"/>
      <c r="C1508" s="5"/>
      <c r="D1508" s="125"/>
      <c r="E1508" s="126"/>
      <c r="F1508" s="127"/>
      <c r="G1508" s="5"/>
    </row>
    <row r="1509" spans="2:7">
      <c r="B1509" s="5"/>
      <c r="C1509" s="5"/>
      <c r="D1509" s="125"/>
      <c r="E1509" s="126"/>
      <c r="F1509" s="127"/>
      <c r="G1509" s="5"/>
    </row>
    <row r="1510" spans="2:7">
      <c r="B1510" s="5"/>
      <c r="C1510" s="5"/>
      <c r="D1510" s="125"/>
      <c r="E1510" s="126"/>
      <c r="F1510" s="127"/>
      <c r="G1510" s="5"/>
    </row>
    <row r="1511" spans="2:7">
      <c r="B1511" s="5"/>
      <c r="C1511" s="5"/>
      <c r="D1511" s="125"/>
      <c r="E1511" s="126"/>
      <c r="F1511" s="127"/>
      <c r="G1511" s="5"/>
    </row>
    <row r="1512" spans="2:7">
      <c r="B1512" s="5"/>
      <c r="C1512" s="5"/>
      <c r="D1512" s="125"/>
      <c r="E1512" s="126"/>
      <c r="F1512" s="127"/>
      <c r="G1512" s="5"/>
    </row>
    <row r="1513" spans="2:7">
      <c r="B1513" s="5"/>
      <c r="C1513" s="5"/>
      <c r="D1513" s="125"/>
      <c r="E1513" s="126"/>
      <c r="F1513" s="127"/>
      <c r="G1513" s="5"/>
    </row>
    <row r="1514" spans="2:7">
      <c r="B1514" s="5"/>
      <c r="C1514" s="5"/>
      <c r="D1514" s="125"/>
      <c r="E1514" s="126"/>
      <c r="F1514" s="127"/>
      <c r="G1514" s="5"/>
    </row>
    <row r="1515" spans="2:7">
      <c r="B1515" s="5"/>
      <c r="C1515" s="5"/>
      <c r="D1515" s="125"/>
      <c r="E1515" s="126"/>
      <c r="F1515" s="127"/>
      <c r="G1515" s="5"/>
    </row>
    <row r="1516" spans="2:7">
      <c r="B1516" s="5"/>
      <c r="C1516" s="5"/>
      <c r="D1516" s="125"/>
      <c r="E1516" s="126"/>
      <c r="F1516" s="127"/>
      <c r="G1516" s="5"/>
    </row>
    <row r="1517" spans="2:7">
      <c r="B1517" s="5"/>
      <c r="C1517" s="5"/>
      <c r="D1517" s="125"/>
      <c r="E1517" s="126"/>
      <c r="F1517" s="127"/>
      <c r="G1517" s="5"/>
    </row>
    <row r="1518" spans="2:7">
      <c r="B1518" s="5"/>
      <c r="C1518" s="5"/>
      <c r="D1518" s="125"/>
      <c r="E1518" s="126"/>
      <c r="F1518" s="127"/>
      <c r="G1518" s="5"/>
    </row>
    <row r="1519" spans="2:7">
      <c r="B1519" s="5"/>
      <c r="C1519" s="5"/>
      <c r="D1519" s="125"/>
      <c r="E1519" s="126"/>
      <c r="F1519" s="127"/>
      <c r="G1519" s="5"/>
    </row>
    <row r="1520" spans="2:7">
      <c r="B1520" s="5"/>
      <c r="C1520" s="5"/>
      <c r="D1520" s="125"/>
      <c r="E1520" s="126"/>
      <c r="F1520" s="127"/>
      <c r="G1520" s="5"/>
    </row>
    <row r="1521" spans="2:7">
      <c r="B1521" s="5"/>
      <c r="C1521" s="5"/>
      <c r="D1521" s="125"/>
      <c r="E1521" s="126"/>
      <c r="F1521" s="127"/>
      <c r="G1521" s="5"/>
    </row>
    <row r="1522" spans="2:7">
      <c r="B1522" s="5"/>
      <c r="C1522" s="5"/>
      <c r="D1522" s="125"/>
      <c r="E1522" s="126"/>
      <c r="F1522" s="127"/>
      <c r="G1522" s="5"/>
    </row>
    <row r="1523" spans="2:7">
      <c r="B1523" s="5"/>
      <c r="C1523" s="5"/>
      <c r="D1523" s="125"/>
      <c r="E1523" s="126"/>
      <c r="F1523" s="127"/>
      <c r="G1523" s="5"/>
    </row>
    <row r="1524" spans="2:7">
      <c r="B1524" s="5"/>
      <c r="C1524" s="5"/>
      <c r="D1524" s="125"/>
      <c r="E1524" s="126"/>
      <c r="F1524" s="127"/>
      <c r="G1524" s="5"/>
    </row>
    <row r="1525" spans="2:7">
      <c r="B1525" s="5"/>
      <c r="C1525" s="5"/>
      <c r="D1525" s="125"/>
      <c r="E1525" s="126"/>
      <c r="F1525" s="127"/>
      <c r="G1525" s="5"/>
    </row>
    <row r="1526" spans="2:7">
      <c r="B1526" s="5"/>
      <c r="C1526" s="5"/>
      <c r="D1526" s="125"/>
      <c r="E1526" s="126"/>
      <c r="F1526" s="127"/>
      <c r="G1526" s="5"/>
    </row>
    <row r="1527" spans="2:7">
      <c r="B1527" s="5"/>
      <c r="C1527" s="5"/>
      <c r="D1527" s="125"/>
      <c r="E1527" s="126"/>
      <c r="F1527" s="127"/>
      <c r="G1527" s="5"/>
    </row>
    <row r="1528" spans="2:7" s="5" customFormat="1"/>
    <row r="1529" spans="2:7" s="5" customFormat="1"/>
    <row r="1530" spans="2:7" s="5" customFormat="1"/>
    <row r="1531" spans="2:7" s="5" customFormat="1"/>
    <row r="1532" spans="2:7" s="5" customFormat="1"/>
    <row r="1533" spans="2:7" s="5" customFormat="1"/>
    <row r="1534" spans="2:7" s="5" customFormat="1"/>
    <row r="1535" spans="2:7" s="5" customFormat="1"/>
    <row r="1536" spans="2:7" s="5" customFormat="1"/>
    <row r="1537" spans="2:7" s="5" customFormat="1"/>
    <row r="1538" spans="2:7">
      <c r="B1538" s="5"/>
      <c r="C1538" s="5"/>
      <c r="D1538" s="125"/>
      <c r="E1538" s="126"/>
      <c r="F1538" s="127"/>
      <c r="G1538" s="5"/>
    </row>
    <row r="1539" spans="2:7">
      <c r="B1539" s="5"/>
      <c r="C1539" s="5"/>
      <c r="D1539" s="125"/>
      <c r="E1539" s="126"/>
      <c r="F1539" s="127"/>
      <c r="G1539" s="5"/>
    </row>
    <row r="1540" spans="2:7">
      <c r="B1540" s="5"/>
      <c r="C1540" s="5"/>
      <c r="D1540" s="125"/>
      <c r="E1540" s="126"/>
      <c r="F1540" s="127"/>
      <c r="G1540" s="5"/>
    </row>
    <row r="1541" spans="2:7">
      <c r="B1541" s="5"/>
      <c r="C1541" s="5"/>
      <c r="D1541" s="125"/>
      <c r="E1541" s="126"/>
      <c r="F1541" s="127"/>
      <c r="G1541" s="5"/>
    </row>
    <row r="1542" spans="2:7">
      <c r="B1542" s="5"/>
      <c r="C1542" s="5"/>
      <c r="D1542" s="125"/>
      <c r="E1542" s="126"/>
      <c r="F1542" s="127"/>
      <c r="G1542" s="5"/>
    </row>
    <row r="1543" spans="2:7">
      <c r="B1543" s="5"/>
      <c r="C1543" s="5"/>
      <c r="D1543" s="125"/>
      <c r="E1543" s="126"/>
      <c r="F1543" s="127"/>
      <c r="G1543" s="5"/>
    </row>
    <row r="1544" spans="2:7">
      <c r="B1544" s="5"/>
      <c r="C1544" s="5"/>
      <c r="D1544" s="125"/>
      <c r="E1544" s="126"/>
      <c r="F1544" s="127"/>
      <c r="G1544" s="5"/>
    </row>
    <row r="1545" spans="2:7">
      <c r="B1545" s="5"/>
      <c r="C1545" s="5"/>
      <c r="D1545" s="125"/>
      <c r="E1545" s="126"/>
      <c r="F1545" s="127"/>
      <c r="G1545" s="5"/>
    </row>
    <row r="1546" spans="2:7">
      <c r="B1546" s="5"/>
      <c r="C1546" s="5"/>
      <c r="D1546" s="125"/>
      <c r="E1546" s="126"/>
      <c r="F1546" s="127"/>
      <c r="G1546" s="5"/>
    </row>
    <row r="1547" spans="2:7" ht="15.75" customHeight="1">
      <c r="B1547" s="5"/>
      <c r="C1547" s="5"/>
      <c r="D1547" s="125"/>
      <c r="E1547" s="126"/>
      <c r="F1547" s="127"/>
      <c r="G1547" s="5"/>
    </row>
    <row r="1548" spans="2:7" ht="15.75" customHeight="1">
      <c r="B1548" s="5"/>
      <c r="C1548" s="5"/>
      <c r="D1548" s="125"/>
      <c r="E1548" s="126"/>
      <c r="F1548" s="127"/>
      <c r="G1548" s="5"/>
    </row>
    <row r="1549" spans="2:7" ht="15.75" customHeight="1">
      <c r="B1549" s="5"/>
      <c r="C1549" s="5"/>
      <c r="D1549" s="125"/>
      <c r="E1549" s="126"/>
      <c r="F1549" s="127"/>
      <c r="G1549" s="5"/>
    </row>
    <row r="1550" spans="2:7" ht="15.75" customHeight="1">
      <c r="B1550" s="5"/>
      <c r="C1550" s="5"/>
      <c r="D1550" s="125"/>
      <c r="E1550" s="126"/>
      <c r="F1550" s="127"/>
      <c r="G1550" s="5"/>
    </row>
    <row r="1551" spans="2:7" ht="15.75" customHeight="1">
      <c r="B1551" s="5"/>
      <c r="C1551" s="5"/>
      <c r="D1551" s="125"/>
      <c r="E1551" s="126"/>
      <c r="F1551" s="127"/>
      <c r="G1551" s="5"/>
    </row>
    <row r="1552" spans="2:7" ht="15.75" customHeight="1">
      <c r="B1552" s="5"/>
      <c r="C1552" s="5"/>
      <c r="D1552" s="125"/>
      <c r="E1552" s="126"/>
      <c r="F1552" s="127"/>
      <c r="G1552" s="5"/>
    </row>
    <row r="1553" spans="2:7" ht="15.75" customHeight="1">
      <c r="B1553" s="5"/>
      <c r="C1553" s="5"/>
      <c r="D1553" s="125"/>
      <c r="E1553" s="126"/>
      <c r="F1553" s="127"/>
      <c r="G1553" s="5"/>
    </row>
    <row r="1554" spans="2:7" ht="15.75" customHeight="1">
      <c r="B1554" s="5"/>
      <c r="C1554" s="5"/>
      <c r="D1554" s="125"/>
      <c r="E1554" s="126"/>
      <c r="F1554" s="127"/>
      <c r="G1554" s="5"/>
    </row>
    <row r="1555" spans="2:7" ht="15.75" customHeight="1">
      <c r="B1555" s="5"/>
      <c r="C1555" s="5"/>
      <c r="D1555" s="125"/>
      <c r="E1555" s="126"/>
      <c r="F1555" s="127"/>
      <c r="G1555" s="5"/>
    </row>
    <row r="1556" spans="2:7">
      <c r="B1556" s="5"/>
      <c r="C1556" s="5"/>
      <c r="D1556" s="125"/>
      <c r="E1556" s="126"/>
      <c r="F1556" s="127"/>
      <c r="G1556" s="5"/>
    </row>
    <row r="1557" spans="2:7">
      <c r="B1557" s="5"/>
      <c r="C1557" s="5"/>
      <c r="D1557" s="125"/>
      <c r="E1557" s="126"/>
      <c r="F1557" s="127"/>
      <c r="G1557" s="5"/>
    </row>
    <row r="1558" spans="2:7">
      <c r="B1558" s="5"/>
      <c r="C1558" s="5"/>
      <c r="D1558" s="125"/>
      <c r="E1558" s="126"/>
      <c r="F1558" s="127"/>
      <c r="G1558" s="5"/>
    </row>
    <row r="1559" spans="2:7">
      <c r="B1559" s="5"/>
      <c r="C1559" s="5"/>
      <c r="D1559" s="125"/>
      <c r="E1559" s="126"/>
      <c r="F1559" s="127"/>
      <c r="G1559" s="5"/>
    </row>
    <row r="1560" spans="2:7">
      <c r="B1560" s="5"/>
      <c r="C1560" s="5"/>
      <c r="D1560" s="125"/>
      <c r="E1560" s="126"/>
      <c r="F1560" s="127"/>
      <c r="G1560" s="5"/>
    </row>
    <row r="1561" spans="2:7">
      <c r="B1561" s="5"/>
      <c r="C1561" s="5"/>
      <c r="D1561" s="125"/>
      <c r="E1561" s="126"/>
      <c r="F1561" s="127"/>
      <c r="G1561" s="5"/>
    </row>
    <row r="1562" spans="2:7">
      <c r="B1562" s="5"/>
      <c r="C1562" s="5"/>
      <c r="D1562" s="125"/>
      <c r="E1562" s="126"/>
      <c r="F1562" s="127"/>
      <c r="G1562" s="5"/>
    </row>
    <row r="1563" spans="2:7">
      <c r="B1563" s="5"/>
      <c r="C1563" s="5"/>
      <c r="D1563" s="125"/>
      <c r="E1563" s="126"/>
      <c r="F1563" s="127"/>
      <c r="G1563" s="5"/>
    </row>
    <row r="1564" spans="2:7">
      <c r="B1564" s="5"/>
      <c r="C1564" s="5"/>
      <c r="D1564" s="125"/>
      <c r="E1564" s="126"/>
      <c r="F1564" s="127"/>
      <c r="G1564" s="5"/>
    </row>
    <row r="1565" spans="2:7">
      <c r="B1565" s="5"/>
      <c r="C1565" s="5"/>
      <c r="D1565" s="125"/>
      <c r="E1565" s="126"/>
      <c r="F1565" s="127"/>
      <c r="G1565" s="5"/>
    </row>
    <row r="1566" spans="2:7">
      <c r="B1566" s="5"/>
      <c r="C1566" s="5"/>
      <c r="D1566" s="125"/>
      <c r="E1566" s="126"/>
      <c r="F1566" s="127"/>
      <c r="G1566" s="5"/>
    </row>
    <row r="1567" spans="2:7">
      <c r="B1567" s="5"/>
      <c r="C1567" s="5"/>
      <c r="D1567" s="125"/>
      <c r="E1567" s="126"/>
      <c r="F1567" s="127"/>
      <c r="G1567" s="5"/>
    </row>
    <row r="1568" spans="2:7">
      <c r="B1568" s="5"/>
      <c r="C1568" s="5"/>
      <c r="D1568" s="125"/>
      <c r="E1568" s="126"/>
      <c r="F1568" s="127"/>
      <c r="G1568" s="5"/>
    </row>
    <row r="1569" spans="2:7">
      <c r="B1569" s="5"/>
      <c r="C1569" s="5"/>
      <c r="D1569" s="125"/>
      <c r="E1569" s="126"/>
      <c r="F1569" s="127"/>
      <c r="G1569" s="5"/>
    </row>
    <row r="1570" spans="2:7">
      <c r="B1570" s="5"/>
      <c r="C1570" s="5"/>
      <c r="D1570" s="125"/>
      <c r="E1570" s="126"/>
      <c r="F1570" s="127"/>
      <c r="G1570" s="5"/>
    </row>
    <row r="1571" spans="2:7">
      <c r="B1571" s="5"/>
      <c r="C1571" s="5"/>
      <c r="D1571" s="125"/>
      <c r="E1571" s="126"/>
      <c r="F1571" s="127"/>
      <c r="G1571" s="5"/>
    </row>
    <row r="1572" spans="2:7">
      <c r="B1572" s="5"/>
      <c r="C1572" s="5"/>
      <c r="D1572" s="125"/>
      <c r="E1572" s="126"/>
      <c r="F1572" s="127"/>
      <c r="G1572" s="5"/>
    </row>
    <row r="1573" spans="2:7">
      <c r="B1573" s="5"/>
      <c r="C1573" s="5"/>
      <c r="D1573" s="125"/>
      <c r="E1573" s="126"/>
      <c r="F1573" s="127"/>
      <c r="G1573" s="5"/>
    </row>
    <row r="1574" spans="2:7">
      <c r="B1574" s="5"/>
      <c r="C1574" s="5"/>
      <c r="D1574" s="125"/>
      <c r="E1574" s="126"/>
      <c r="F1574" s="127"/>
      <c r="G1574" s="5"/>
    </row>
    <row r="1575" spans="2:7">
      <c r="B1575" s="5"/>
      <c r="C1575" s="5"/>
      <c r="D1575" s="125"/>
      <c r="E1575" s="126"/>
      <c r="F1575" s="127"/>
      <c r="G1575" s="5"/>
    </row>
    <row r="1576" spans="2:7">
      <c r="B1576" s="5"/>
      <c r="C1576" s="5"/>
      <c r="D1576" s="125"/>
      <c r="E1576" s="126"/>
      <c r="F1576" s="127"/>
      <c r="G1576" s="5"/>
    </row>
    <row r="1577" spans="2:7">
      <c r="B1577" s="5"/>
      <c r="C1577" s="5"/>
      <c r="D1577" s="125"/>
      <c r="E1577" s="126"/>
      <c r="F1577" s="127"/>
      <c r="G1577" s="5"/>
    </row>
    <row r="1578" spans="2:7">
      <c r="B1578" s="5"/>
      <c r="C1578" s="5"/>
      <c r="D1578" s="125"/>
      <c r="E1578" s="126"/>
      <c r="F1578" s="127"/>
      <c r="G1578" s="5"/>
    </row>
    <row r="1579" spans="2:7">
      <c r="B1579" s="5"/>
      <c r="C1579" s="5"/>
      <c r="D1579" s="125"/>
      <c r="E1579" s="126"/>
      <c r="F1579" s="127"/>
      <c r="G1579" s="5"/>
    </row>
    <row r="1580" spans="2:7">
      <c r="B1580" s="5"/>
      <c r="C1580" s="5"/>
      <c r="D1580" s="125"/>
      <c r="E1580" s="126"/>
      <c r="F1580" s="127"/>
      <c r="G1580" s="5"/>
    </row>
    <row r="1581" spans="2:7">
      <c r="B1581" s="5"/>
      <c r="C1581" s="5"/>
      <c r="D1581" s="125"/>
      <c r="E1581" s="126"/>
      <c r="F1581" s="127"/>
      <c r="G1581" s="5"/>
    </row>
    <row r="1582" spans="2:7" s="5" customFormat="1"/>
    <row r="1583" spans="2:7" s="5" customFormat="1"/>
    <row r="1584" spans="2:7" s="5" customFormat="1"/>
    <row r="1585" spans="2:7" s="5" customFormat="1"/>
    <row r="1586" spans="2:7" s="5" customFormat="1"/>
    <row r="1587" spans="2:7" ht="15.75" customHeight="1">
      <c r="B1587" s="5"/>
      <c r="C1587" s="5"/>
      <c r="D1587" s="125"/>
      <c r="E1587" s="126"/>
      <c r="F1587" s="127"/>
      <c r="G1587" s="5"/>
    </row>
    <row r="1588" spans="2:7" ht="15.75" customHeight="1">
      <c r="B1588" s="5"/>
      <c r="C1588" s="5"/>
      <c r="D1588" s="125"/>
      <c r="E1588" s="126"/>
      <c r="F1588" s="127"/>
      <c r="G1588" s="5"/>
    </row>
    <row r="1589" spans="2:7" ht="15.75" customHeight="1">
      <c r="B1589" s="5"/>
      <c r="C1589" s="5"/>
      <c r="D1589" s="125"/>
      <c r="E1589" s="126"/>
      <c r="F1589" s="127"/>
      <c r="G1589" s="5"/>
    </row>
    <row r="1590" spans="2:7" ht="15.75" customHeight="1">
      <c r="B1590" s="5"/>
      <c r="C1590" s="5"/>
      <c r="D1590" s="125"/>
      <c r="E1590" s="126"/>
      <c r="F1590" s="127"/>
      <c r="G1590" s="5"/>
    </row>
    <row r="1591" spans="2:7" ht="15.75" customHeight="1">
      <c r="B1591" s="5"/>
      <c r="C1591" s="5"/>
      <c r="D1591" s="125"/>
      <c r="E1591" s="126"/>
      <c r="F1591" s="127"/>
      <c r="G1591" s="5"/>
    </row>
    <row r="1592" spans="2:7" ht="15.75" customHeight="1">
      <c r="B1592" s="5"/>
      <c r="C1592" s="5"/>
      <c r="D1592" s="125"/>
      <c r="E1592" s="126"/>
      <c r="F1592" s="127"/>
      <c r="G1592" s="5"/>
    </row>
    <row r="1593" spans="2:7" ht="15.75" customHeight="1">
      <c r="B1593" s="5"/>
      <c r="C1593" s="5"/>
      <c r="D1593" s="125"/>
      <c r="E1593" s="126"/>
      <c r="F1593" s="127"/>
      <c r="G1593" s="5"/>
    </row>
    <row r="1594" spans="2:7" ht="15.75" customHeight="1">
      <c r="B1594" s="5"/>
      <c r="C1594" s="5"/>
      <c r="D1594" s="125"/>
      <c r="E1594" s="126"/>
      <c r="F1594" s="127"/>
      <c r="G1594" s="5"/>
    </row>
    <row r="1595" spans="2:7" ht="15.75" customHeight="1">
      <c r="B1595" s="5"/>
      <c r="C1595" s="5"/>
      <c r="D1595" s="125"/>
      <c r="E1595" s="126"/>
      <c r="F1595" s="127"/>
      <c r="G1595" s="5"/>
    </row>
    <row r="1596" spans="2:7" ht="15.75" customHeight="1">
      <c r="B1596" s="5"/>
      <c r="C1596" s="5"/>
      <c r="D1596" s="125"/>
      <c r="E1596" s="126"/>
      <c r="F1596" s="127"/>
      <c r="G1596" s="5"/>
    </row>
    <row r="1597" spans="2:7" ht="15.75" customHeight="1">
      <c r="B1597" s="5"/>
      <c r="C1597" s="5"/>
      <c r="D1597" s="125"/>
      <c r="E1597" s="126"/>
      <c r="F1597" s="127"/>
      <c r="G1597" s="5"/>
    </row>
    <row r="1598" spans="2:7" ht="15.75" customHeight="1">
      <c r="B1598" s="5"/>
      <c r="C1598" s="5"/>
      <c r="D1598" s="125"/>
      <c r="E1598" s="126"/>
      <c r="F1598" s="127"/>
      <c r="G1598" s="5"/>
    </row>
    <row r="1599" spans="2:7" ht="15.75" customHeight="1">
      <c r="B1599" s="5"/>
      <c r="C1599" s="5"/>
      <c r="D1599" s="125"/>
      <c r="E1599" s="126"/>
      <c r="F1599" s="127"/>
      <c r="G1599" s="5"/>
    </row>
    <row r="1600" spans="2:7" ht="15.75" customHeight="1">
      <c r="B1600" s="5"/>
      <c r="C1600" s="5"/>
      <c r="D1600" s="125"/>
      <c r="E1600" s="126"/>
      <c r="F1600" s="127"/>
      <c r="G1600" s="5"/>
    </row>
    <row r="1601" spans="2:7" ht="15.75" customHeight="1">
      <c r="B1601" s="5"/>
      <c r="C1601" s="5"/>
      <c r="D1601" s="125"/>
      <c r="E1601" s="126"/>
      <c r="F1601" s="127"/>
      <c r="G1601" s="5"/>
    </row>
    <row r="1602" spans="2:7" ht="15.75" customHeight="1">
      <c r="B1602" s="5"/>
      <c r="C1602" s="5"/>
      <c r="D1602" s="125"/>
      <c r="E1602" s="126"/>
      <c r="F1602" s="127"/>
      <c r="G1602" s="5"/>
    </row>
    <row r="1603" spans="2:7" ht="15.75" customHeight="1">
      <c r="B1603" s="5"/>
      <c r="C1603" s="5"/>
      <c r="D1603" s="125"/>
      <c r="E1603" s="126"/>
      <c r="F1603" s="127"/>
      <c r="G1603" s="5"/>
    </row>
    <row r="1604" spans="2:7" ht="15.75" customHeight="1">
      <c r="B1604" s="5"/>
      <c r="C1604" s="5"/>
      <c r="D1604" s="125"/>
      <c r="E1604" s="126"/>
      <c r="F1604" s="127"/>
      <c r="G1604" s="5"/>
    </row>
    <row r="1605" spans="2:7" ht="15.75" customHeight="1">
      <c r="B1605" s="5"/>
      <c r="C1605" s="5"/>
      <c r="D1605" s="125"/>
      <c r="E1605" s="126"/>
      <c r="F1605" s="127"/>
      <c r="G1605" s="5"/>
    </row>
    <row r="1606" spans="2:7" ht="15.75" customHeight="1">
      <c r="B1606" s="5"/>
      <c r="C1606" s="5"/>
      <c r="D1606" s="125"/>
      <c r="E1606" s="126"/>
      <c r="F1606" s="127"/>
      <c r="G1606" s="5"/>
    </row>
    <row r="1607" spans="2:7" ht="15.75" customHeight="1">
      <c r="B1607" s="5"/>
      <c r="C1607" s="5"/>
      <c r="D1607" s="125"/>
      <c r="E1607" s="126"/>
      <c r="F1607" s="127"/>
      <c r="G1607" s="5"/>
    </row>
    <row r="1608" spans="2:7" ht="15.75" customHeight="1">
      <c r="B1608" s="5"/>
      <c r="C1608" s="5"/>
      <c r="D1608" s="125"/>
      <c r="E1608" s="126"/>
      <c r="F1608" s="127"/>
      <c r="G1608" s="5"/>
    </row>
    <row r="1609" spans="2:7" ht="15.75" customHeight="1">
      <c r="B1609" s="5"/>
      <c r="C1609" s="5"/>
      <c r="D1609" s="125"/>
      <c r="E1609" s="126"/>
      <c r="F1609" s="127"/>
      <c r="G1609" s="5"/>
    </row>
    <row r="1610" spans="2:7" s="5" customFormat="1" ht="15.75" customHeight="1"/>
    <row r="1611" spans="2:7" ht="16.5" customHeight="1">
      <c r="B1611" s="5"/>
      <c r="C1611" s="5"/>
      <c r="D1611" s="125"/>
      <c r="E1611" s="126"/>
      <c r="F1611" s="127"/>
      <c r="G1611" s="5"/>
    </row>
    <row r="1612" spans="2:7" ht="16.5" customHeight="1">
      <c r="B1612" s="5"/>
      <c r="C1612" s="5"/>
      <c r="D1612" s="125"/>
      <c r="E1612" s="126"/>
      <c r="F1612" s="127"/>
      <c r="G1612" s="5"/>
    </row>
    <row r="1613" spans="2:7" ht="16.5" customHeight="1">
      <c r="B1613" s="5"/>
      <c r="C1613" s="5"/>
      <c r="D1613" s="125"/>
      <c r="E1613" s="126"/>
      <c r="F1613" s="127"/>
      <c r="G1613" s="5"/>
    </row>
    <row r="1614" spans="2:7" ht="18" customHeight="1">
      <c r="B1614" s="5"/>
      <c r="C1614" s="5"/>
      <c r="D1614" s="125"/>
      <c r="E1614" s="126"/>
      <c r="F1614" s="127"/>
      <c r="G1614" s="5"/>
    </row>
    <row r="1615" spans="2:7" ht="16.5" customHeight="1">
      <c r="B1615" s="5"/>
      <c r="C1615" s="5"/>
      <c r="D1615" s="125"/>
      <c r="E1615" s="126"/>
      <c r="F1615" s="127"/>
      <c r="G1615" s="5"/>
    </row>
    <row r="1616" spans="2:7" ht="16.5" customHeight="1">
      <c r="B1616" s="5"/>
      <c r="C1616" s="5"/>
      <c r="D1616" s="125"/>
      <c r="E1616" s="126"/>
      <c r="F1616" s="127"/>
      <c r="G1616" s="5"/>
    </row>
    <row r="1617" spans="2:7" ht="16.5" customHeight="1">
      <c r="B1617" s="5"/>
      <c r="C1617" s="5"/>
      <c r="D1617" s="125"/>
      <c r="E1617" s="126"/>
      <c r="F1617" s="127"/>
      <c r="G1617" s="5"/>
    </row>
    <row r="1618" spans="2:7" ht="16.5" customHeight="1">
      <c r="B1618" s="5"/>
      <c r="C1618" s="5"/>
      <c r="D1618" s="125"/>
      <c r="E1618" s="126"/>
      <c r="F1618" s="127"/>
      <c r="G1618" s="5"/>
    </row>
    <row r="1619" spans="2:7" ht="16.5" customHeight="1">
      <c r="B1619" s="5"/>
      <c r="C1619" s="5"/>
      <c r="D1619" s="125"/>
      <c r="E1619" s="126"/>
      <c r="F1619" s="127"/>
      <c r="G1619" s="5"/>
    </row>
    <row r="1620" spans="2:7" ht="15.75" customHeight="1">
      <c r="B1620" s="5"/>
      <c r="C1620" s="5"/>
      <c r="D1620" s="125"/>
      <c r="E1620" s="126"/>
      <c r="F1620" s="127"/>
      <c r="G1620" s="5"/>
    </row>
    <row r="1621" spans="2:7" ht="15.75" customHeight="1">
      <c r="B1621" s="5"/>
      <c r="C1621" s="5"/>
      <c r="D1621" s="125"/>
      <c r="E1621" s="126"/>
      <c r="F1621" s="127"/>
      <c r="G1621" s="5"/>
    </row>
    <row r="1622" spans="2:7" ht="15.75" customHeight="1">
      <c r="B1622" s="5"/>
      <c r="C1622" s="5"/>
      <c r="D1622" s="125"/>
      <c r="E1622" s="126"/>
      <c r="F1622" s="127"/>
      <c r="G1622" s="5"/>
    </row>
    <row r="1623" spans="2:7" ht="15.75" customHeight="1">
      <c r="B1623" s="5"/>
      <c r="C1623" s="5"/>
      <c r="D1623" s="125"/>
      <c r="E1623" s="126"/>
      <c r="F1623" s="127"/>
      <c r="G1623" s="5"/>
    </row>
    <row r="1624" spans="2:7" ht="15.75" customHeight="1">
      <c r="B1624" s="5"/>
      <c r="C1624" s="5"/>
      <c r="D1624" s="125"/>
      <c r="E1624" s="126"/>
      <c r="F1624" s="127"/>
      <c r="G1624" s="5"/>
    </row>
    <row r="1625" spans="2:7" ht="15.75" customHeight="1">
      <c r="B1625" s="5"/>
      <c r="C1625" s="5"/>
      <c r="D1625" s="125"/>
      <c r="E1625" s="126"/>
      <c r="F1625" s="127"/>
      <c r="G1625" s="5"/>
    </row>
    <row r="1626" spans="2:7" ht="15.75" customHeight="1">
      <c r="B1626" s="5"/>
      <c r="C1626" s="5"/>
      <c r="D1626" s="125"/>
      <c r="E1626" s="126"/>
      <c r="F1626" s="127"/>
      <c r="G1626" s="5"/>
    </row>
    <row r="1627" spans="2:7">
      <c r="B1627" s="5"/>
      <c r="C1627" s="5"/>
      <c r="D1627" s="125"/>
      <c r="E1627" s="126"/>
      <c r="F1627" s="127"/>
      <c r="G1627" s="5"/>
    </row>
    <row r="1628" spans="2:7">
      <c r="B1628" s="5"/>
      <c r="C1628" s="5"/>
      <c r="D1628" s="125"/>
      <c r="E1628" s="126"/>
      <c r="F1628" s="127"/>
      <c r="G1628" s="5"/>
    </row>
    <row r="1629" spans="2:7">
      <c r="B1629" s="5"/>
      <c r="C1629" s="5"/>
      <c r="D1629" s="125"/>
      <c r="E1629" s="126"/>
      <c r="F1629" s="127"/>
      <c r="G1629" s="5"/>
    </row>
    <row r="1630" spans="2:7">
      <c r="B1630" s="5"/>
      <c r="C1630" s="5"/>
      <c r="D1630" s="125"/>
      <c r="E1630" s="126"/>
      <c r="F1630" s="127"/>
      <c r="G1630" s="5"/>
    </row>
    <row r="1631" spans="2:7">
      <c r="B1631" s="5"/>
      <c r="C1631" s="5"/>
      <c r="D1631" s="125"/>
      <c r="E1631" s="126"/>
      <c r="F1631" s="127"/>
      <c r="G1631" s="5"/>
    </row>
    <row r="1632" spans="2:7">
      <c r="B1632" s="5"/>
      <c r="C1632" s="5"/>
      <c r="D1632" s="125"/>
      <c r="E1632" s="126"/>
      <c r="F1632" s="127"/>
      <c r="G1632" s="5"/>
    </row>
    <row r="1633" spans="2:7">
      <c r="B1633" s="5"/>
      <c r="C1633" s="5"/>
      <c r="D1633" s="125"/>
      <c r="E1633" s="126"/>
      <c r="F1633" s="127"/>
      <c r="G1633" s="5"/>
    </row>
    <row r="1634" spans="2:7">
      <c r="B1634" s="5"/>
      <c r="C1634" s="5"/>
      <c r="D1634" s="125"/>
      <c r="E1634" s="126"/>
      <c r="F1634" s="127"/>
      <c r="G1634" s="5"/>
    </row>
    <row r="1635" spans="2:7">
      <c r="B1635" s="5"/>
      <c r="C1635" s="5"/>
      <c r="D1635" s="125"/>
      <c r="E1635" s="126"/>
      <c r="F1635" s="127"/>
      <c r="G1635" s="5"/>
    </row>
    <row r="1636" spans="2:7">
      <c r="B1636" s="5"/>
      <c r="C1636" s="5"/>
      <c r="D1636" s="125"/>
      <c r="E1636" s="126"/>
      <c r="F1636" s="127"/>
      <c r="G1636" s="5"/>
    </row>
    <row r="1637" spans="2:7">
      <c r="B1637" s="5"/>
      <c r="C1637" s="5"/>
      <c r="D1637" s="125"/>
      <c r="E1637" s="126"/>
      <c r="F1637" s="127"/>
      <c r="G1637" s="5"/>
    </row>
    <row r="1638" spans="2:7">
      <c r="B1638" s="5"/>
      <c r="C1638" s="5"/>
      <c r="D1638" s="125"/>
      <c r="E1638" s="126"/>
      <c r="F1638" s="127"/>
      <c r="G1638" s="5"/>
    </row>
    <row r="1639" spans="2:7">
      <c r="B1639" s="5"/>
      <c r="C1639" s="5"/>
      <c r="D1639" s="125"/>
      <c r="E1639" s="126"/>
      <c r="F1639" s="127"/>
      <c r="G1639" s="5"/>
    </row>
    <row r="1640" spans="2:7">
      <c r="B1640" s="5"/>
      <c r="C1640" s="5"/>
      <c r="D1640" s="125"/>
      <c r="E1640" s="126"/>
      <c r="F1640" s="127"/>
      <c r="G1640" s="5"/>
    </row>
    <row r="1641" spans="2:7">
      <c r="B1641" s="5"/>
      <c r="C1641" s="5"/>
      <c r="D1641" s="125"/>
      <c r="E1641" s="126"/>
      <c r="F1641" s="127"/>
      <c r="G1641" s="5"/>
    </row>
    <row r="1642" spans="2:7">
      <c r="B1642" s="5"/>
      <c r="C1642" s="5"/>
      <c r="D1642" s="125"/>
      <c r="E1642" s="126"/>
      <c r="F1642" s="127"/>
      <c r="G1642" s="5"/>
    </row>
    <row r="1643" spans="2:7">
      <c r="B1643" s="5"/>
      <c r="C1643" s="5"/>
      <c r="D1643" s="125"/>
      <c r="E1643" s="126"/>
      <c r="F1643" s="127"/>
      <c r="G1643" s="5"/>
    </row>
    <row r="1644" spans="2:7">
      <c r="B1644" s="5"/>
      <c r="C1644" s="5"/>
      <c r="D1644" s="125"/>
      <c r="E1644" s="126"/>
      <c r="F1644" s="127"/>
      <c r="G1644" s="5"/>
    </row>
    <row r="1645" spans="2:7">
      <c r="B1645" s="5"/>
      <c r="C1645" s="5"/>
      <c r="D1645" s="125"/>
      <c r="E1645" s="126"/>
      <c r="F1645" s="127"/>
      <c r="G1645" s="5"/>
    </row>
    <row r="1646" spans="2:7">
      <c r="B1646" s="5"/>
      <c r="C1646" s="5"/>
      <c r="D1646" s="125"/>
      <c r="E1646" s="126"/>
      <c r="F1646" s="127"/>
      <c r="G1646" s="5"/>
    </row>
    <row r="1647" spans="2:7">
      <c r="B1647" s="5"/>
      <c r="C1647" s="5"/>
      <c r="D1647" s="125"/>
      <c r="E1647" s="126"/>
      <c r="F1647" s="127"/>
      <c r="G1647" s="5"/>
    </row>
    <row r="1648" spans="2:7">
      <c r="B1648" s="5"/>
      <c r="C1648" s="5"/>
      <c r="D1648" s="125"/>
      <c r="E1648" s="126"/>
      <c r="F1648" s="127"/>
      <c r="G1648" s="5"/>
    </row>
    <row r="1649" spans="2:7">
      <c r="B1649" s="5"/>
      <c r="C1649" s="5"/>
      <c r="D1649" s="125"/>
      <c r="E1649" s="126"/>
      <c r="F1649" s="127"/>
      <c r="G1649" s="5"/>
    </row>
    <row r="1650" spans="2:7">
      <c r="B1650" s="5"/>
      <c r="C1650" s="5"/>
      <c r="D1650" s="125"/>
      <c r="E1650" s="126"/>
      <c r="F1650" s="127"/>
      <c r="G1650" s="5"/>
    </row>
    <row r="1651" spans="2:7">
      <c r="B1651" s="5"/>
      <c r="C1651" s="5"/>
      <c r="D1651" s="125"/>
      <c r="E1651" s="126"/>
      <c r="F1651" s="127"/>
      <c r="G1651" s="5"/>
    </row>
    <row r="1652" spans="2:7">
      <c r="B1652" s="5"/>
      <c r="C1652" s="5"/>
      <c r="D1652" s="125"/>
      <c r="E1652" s="126"/>
      <c r="F1652" s="127"/>
      <c r="G1652" s="5"/>
    </row>
    <row r="1653" spans="2:7">
      <c r="B1653" s="5"/>
      <c r="C1653" s="5"/>
      <c r="D1653" s="125"/>
      <c r="E1653" s="126"/>
      <c r="F1653" s="127"/>
      <c r="G1653" s="5"/>
    </row>
    <row r="1654" spans="2:7">
      <c r="B1654" s="5"/>
      <c r="C1654" s="5"/>
      <c r="D1654" s="125"/>
      <c r="E1654" s="126"/>
      <c r="F1654" s="127"/>
      <c r="G1654" s="5"/>
    </row>
    <row r="1655" spans="2:7">
      <c r="B1655" s="5"/>
      <c r="C1655" s="5"/>
      <c r="D1655" s="125"/>
      <c r="E1655" s="126"/>
      <c r="F1655" s="127"/>
      <c r="G1655" s="5"/>
    </row>
    <row r="1656" spans="2:7" ht="21.75" customHeight="1">
      <c r="B1656" s="5"/>
      <c r="C1656" s="5"/>
      <c r="D1656" s="125"/>
      <c r="E1656" s="126"/>
      <c r="F1656" s="127"/>
      <c r="G1656" s="5"/>
    </row>
    <row r="1657" spans="2:7" s="5" customFormat="1"/>
    <row r="1658" spans="2:7" s="5" customFormat="1"/>
    <row r="1659" spans="2:7" s="5" customFormat="1"/>
    <row r="1660" spans="2:7" s="5" customFormat="1"/>
    <row r="1661" spans="2:7" s="5" customFormat="1"/>
    <row r="1662" spans="2:7">
      <c r="B1662" s="5"/>
      <c r="C1662" s="5"/>
      <c r="D1662" s="125"/>
      <c r="E1662" s="126"/>
      <c r="F1662" s="127"/>
      <c r="G1662" s="5"/>
    </row>
    <row r="1663" spans="2:7">
      <c r="B1663" s="5"/>
      <c r="C1663" s="5"/>
      <c r="D1663" s="125"/>
      <c r="E1663" s="126"/>
      <c r="F1663" s="127"/>
      <c r="G1663" s="5"/>
    </row>
    <row r="1664" spans="2:7">
      <c r="B1664" s="5"/>
      <c r="C1664" s="5"/>
      <c r="D1664" s="125"/>
      <c r="E1664" s="126"/>
      <c r="F1664" s="127"/>
      <c r="G1664" s="5"/>
    </row>
    <row r="1665" spans="2:7">
      <c r="B1665" s="5"/>
      <c r="C1665" s="5"/>
      <c r="D1665" s="125"/>
      <c r="E1665" s="126"/>
      <c r="F1665" s="127"/>
      <c r="G1665" s="5"/>
    </row>
    <row r="1666" spans="2:7">
      <c r="B1666" s="5"/>
      <c r="C1666" s="5"/>
      <c r="D1666" s="125"/>
      <c r="E1666" s="126"/>
      <c r="F1666" s="127"/>
      <c r="G1666" s="5"/>
    </row>
    <row r="1667" spans="2:7">
      <c r="B1667" s="5"/>
      <c r="C1667" s="5"/>
      <c r="D1667" s="125"/>
      <c r="E1667" s="126"/>
      <c r="F1667" s="127"/>
      <c r="G1667" s="5"/>
    </row>
    <row r="1668" spans="2:7">
      <c r="B1668" s="5"/>
      <c r="C1668" s="5"/>
      <c r="D1668" s="125"/>
      <c r="E1668" s="126"/>
      <c r="F1668" s="127"/>
      <c r="G1668" s="5"/>
    </row>
    <row r="1669" spans="2:7">
      <c r="B1669" s="5"/>
      <c r="C1669" s="5"/>
      <c r="D1669" s="125"/>
      <c r="E1669" s="126"/>
      <c r="F1669" s="127"/>
      <c r="G1669" s="5"/>
    </row>
    <row r="1670" spans="2:7">
      <c r="B1670" s="5"/>
      <c r="C1670" s="5"/>
      <c r="D1670" s="125"/>
      <c r="E1670" s="126"/>
      <c r="F1670" s="127"/>
      <c r="G1670" s="5"/>
    </row>
    <row r="1671" spans="2:7">
      <c r="B1671" s="5"/>
      <c r="C1671" s="5"/>
      <c r="D1671" s="125"/>
      <c r="E1671" s="126"/>
      <c r="F1671" s="127"/>
      <c r="G1671" s="5"/>
    </row>
    <row r="1672" spans="2:7">
      <c r="B1672" s="111"/>
      <c r="C1672" s="111"/>
      <c r="D1672" s="125"/>
      <c r="E1672" s="126"/>
      <c r="F1672" s="127"/>
      <c r="G1672" s="5"/>
    </row>
    <row r="1673" spans="2:7">
      <c r="B1673" s="111"/>
      <c r="C1673" s="111"/>
      <c r="D1673" s="125"/>
      <c r="E1673" s="126"/>
      <c r="F1673" s="127"/>
      <c r="G1673" s="5"/>
    </row>
    <row r="1674" spans="2:7">
      <c r="B1674" s="5"/>
      <c r="C1674" s="5"/>
      <c r="D1674" s="125"/>
      <c r="E1674" s="126"/>
      <c r="F1674" s="127"/>
      <c r="G1674" s="5"/>
    </row>
    <row r="1675" spans="2:7">
      <c r="B1675" s="5"/>
      <c r="C1675" s="5"/>
      <c r="D1675" s="125"/>
      <c r="E1675" s="126"/>
      <c r="F1675" s="127"/>
      <c r="G1675" s="5"/>
    </row>
    <row r="1676" spans="2:7">
      <c r="B1676" s="5"/>
      <c r="C1676" s="5"/>
      <c r="D1676" s="125"/>
      <c r="E1676" s="126"/>
      <c r="F1676" s="127"/>
      <c r="G1676" s="5"/>
    </row>
    <row r="1677" spans="2:7">
      <c r="B1677" s="5"/>
      <c r="C1677" s="5"/>
      <c r="D1677" s="125"/>
      <c r="E1677" s="126"/>
      <c r="F1677" s="127"/>
      <c r="G1677" s="5"/>
    </row>
    <row r="1678" spans="2:7">
      <c r="B1678" s="5"/>
      <c r="C1678" s="5"/>
      <c r="D1678" s="125"/>
      <c r="E1678" s="126"/>
      <c r="F1678" s="127"/>
      <c r="G1678" s="5"/>
    </row>
    <row r="1679" spans="2:7">
      <c r="B1679" s="5"/>
      <c r="C1679" s="5"/>
      <c r="D1679" s="125"/>
      <c r="E1679" s="126"/>
      <c r="F1679" s="127"/>
      <c r="G1679" s="5"/>
    </row>
    <row r="1680" spans="2:7">
      <c r="B1680" s="316"/>
      <c r="C1680" s="316"/>
      <c r="D1680" s="316"/>
      <c r="E1680" s="316"/>
      <c r="F1680" s="127"/>
      <c r="G1680" s="5"/>
    </row>
    <row r="1681" spans="2:7">
      <c r="B1681" s="111"/>
      <c r="C1681" s="111"/>
      <c r="D1681" s="125"/>
      <c r="E1681" s="126"/>
      <c r="F1681" s="127"/>
      <c r="G1681" s="5"/>
    </row>
    <row r="1682" spans="2:7">
      <c r="B1682" s="111"/>
      <c r="C1682" s="111"/>
      <c r="D1682" s="125"/>
      <c r="E1682" s="126"/>
      <c r="F1682" s="127"/>
      <c r="G1682" s="5"/>
    </row>
    <row r="1683" spans="2:7">
      <c r="B1683" s="111"/>
      <c r="C1683" s="111"/>
      <c r="D1683" s="125"/>
      <c r="E1683" s="126"/>
      <c r="F1683" s="127"/>
      <c r="G1683" s="5"/>
    </row>
    <row r="1684" spans="2:7">
      <c r="B1684" s="111"/>
      <c r="C1684" s="111"/>
      <c r="D1684" s="125"/>
      <c r="E1684" s="126"/>
      <c r="F1684" s="127"/>
      <c r="G1684" s="5"/>
    </row>
    <row r="1685" spans="2:7">
      <c r="B1685" s="111"/>
      <c r="C1685" s="111"/>
      <c r="D1685" s="125"/>
      <c r="E1685" s="126"/>
      <c r="F1685" s="127"/>
      <c r="G1685" s="5"/>
    </row>
    <row r="1686" spans="2:7">
      <c r="B1686" s="111"/>
      <c r="C1686" s="111"/>
      <c r="D1686" s="125"/>
      <c r="E1686" s="129"/>
      <c r="F1686" s="127"/>
      <c r="G1686" s="5"/>
    </row>
    <row r="1687" spans="2:7">
      <c r="B1687" s="5"/>
      <c r="C1687" s="5"/>
      <c r="D1687" s="125"/>
      <c r="E1687" s="126"/>
      <c r="F1687" s="127"/>
      <c r="G1687" s="5"/>
    </row>
    <row r="1688" spans="2:7">
      <c r="B1688" s="5"/>
      <c r="C1688" s="5"/>
      <c r="D1688" s="125"/>
      <c r="E1688" s="126"/>
      <c r="F1688" s="127"/>
      <c r="G1688" s="5"/>
    </row>
    <row r="1689" spans="2:7">
      <c r="B1689" s="5"/>
      <c r="C1689" s="5"/>
      <c r="D1689" s="125"/>
      <c r="E1689" s="126"/>
      <c r="F1689" s="127"/>
      <c r="G1689" s="5"/>
    </row>
    <row r="1690" spans="2:7">
      <c r="B1690" s="5"/>
      <c r="C1690" s="5"/>
      <c r="D1690" s="125"/>
      <c r="E1690" s="126"/>
      <c r="F1690" s="127"/>
      <c r="G1690" s="5"/>
    </row>
    <row r="1691" spans="2:7">
      <c r="B1691" s="5"/>
      <c r="C1691" s="5"/>
      <c r="D1691" s="125"/>
      <c r="E1691" s="126"/>
      <c r="F1691" s="127"/>
      <c r="G1691" s="5"/>
    </row>
    <row r="1692" spans="2:7">
      <c r="B1692" s="5"/>
      <c r="C1692" s="5"/>
      <c r="D1692" s="125"/>
      <c r="E1692" s="126"/>
      <c r="F1692" s="127"/>
      <c r="G1692" s="5"/>
    </row>
    <row r="1693" spans="2:7">
      <c r="B1693" s="5"/>
      <c r="C1693" s="5"/>
      <c r="D1693" s="125"/>
      <c r="E1693" s="126"/>
      <c r="F1693" s="127"/>
      <c r="G1693" s="5"/>
    </row>
    <row r="1694" spans="2:7">
      <c r="B1694" s="5"/>
      <c r="C1694" s="5"/>
      <c r="D1694" s="125"/>
      <c r="E1694" s="126"/>
      <c r="F1694" s="127"/>
      <c r="G1694" s="5"/>
    </row>
    <row r="1695" spans="2:7">
      <c r="B1695" s="5"/>
      <c r="C1695" s="5"/>
      <c r="D1695" s="125"/>
      <c r="E1695" s="126"/>
      <c r="F1695" s="127"/>
      <c r="G1695" s="5"/>
    </row>
    <row r="1696" spans="2:7">
      <c r="B1696" s="5"/>
      <c r="C1696" s="5"/>
      <c r="D1696" s="125"/>
      <c r="E1696" s="126"/>
      <c r="F1696" s="127"/>
      <c r="G1696" s="5"/>
    </row>
    <row r="1697" spans="1:8">
      <c r="B1697" s="5"/>
      <c r="C1697" s="5"/>
      <c r="D1697" s="125"/>
      <c r="E1697" s="126"/>
      <c r="F1697" s="127"/>
      <c r="G1697" s="5"/>
    </row>
    <row r="1698" spans="1:8">
      <c r="B1698" s="5"/>
      <c r="C1698" s="5"/>
      <c r="D1698" s="125"/>
      <c r="E1698" s="126"/>
      <c r="F1698" s="127"/>
      <c r="G1698" s="5"/>
    </row>
    <row r="1699" spans="1:8">
      <c r="B1699" s="5"/>
      <c r="C1699" s="5"/>
      <c r="D1699" s="125"/>
      <c r="E1699" s="126"/>
      <c r="F1699" s="127"/>
      <c r="G1699" s="5"/>
    </row>
    <row r="1700" spans="1:8">
      <c r="B1700" s="5"/>
      <c r="C1700" s="5"/>
      <c r="D1700" s="125"/>
      <c r="E1700" s="126"/>
      <c r="F1700" s="127"/>
      <c r="G1700" s="5"/>
    </row>
    <row r="1701" spans="1:8">
      <c r="B1701" s="5"/>
      <c r="C1701" s="5"/>
      <c r="D1701" s="125"/>
      <c r="E1701" s="126"/>
      <c r="F1701" s="127"/>
      <c r="G1701" s="5"/>
    </row>
    <row r="1702" spans="1:8">
      <c r="B1702" s="5"/>
      <c r="C1702" s="5"/>
      <c r="D1702" s="125"/>
      <c r="E1702" s="126"/>
      <c r="F1702" s="127"/>
      <c r="G1702" s="5"/>
    </row>
    <row r="1703" spans="1:8">
      <c r="B1703" s="5"/>
      <c r="C1703" s="5"/>
      <c r="D1703" s="125"/>
      <c r="E1703" s="126"/>
      <c r="F1703" s="127"/>
      <c r="G1703" s="5"/>
    </row>
    <row r="1704" spans="1:8" ht="18" customHeight="1">
      <c r="B1704" s="5"/>
      <c r="C1704" s="5"/>
      <c r="D1704" s="125"/>
      <c r="E1704" s="126"/>
      <c r="F1704" s="127"/>
      <c r="G1704" s="5"/>
    </row>
    <row r="1705" spans="1:8">
      <c r="B1705" s="5"/>
      <c r="C1705" s="5"/>
      <c r="D1705" s="125"/>
      <c r="E1705" s="126"/>
      <c r="F1705" s="127"/>
      <c r="G1705" s="5"/>
    </row>
    <row r="1706" spans="1:8" s="2" customFormat="1">
      <c r="A1706" s="5"/>
      <c r="B1706" s="5"/>
      <c r="C1706" s="5"/>
      <c r="D1706" s="5"/>
      <c r="E1706" s="5"/>
      <c r="F1706" s="5"/>
      <c r="G1706" s="5"/>
      <c r="H1706" s="112"/>
    </row>
    <row r="1707" spans="1:8" s="2" customFormat="1">
      <c r="A1707" s="5"/>
      <c r="B1707" s="5"/>
      <c r="C1707" s="5"/>
      <c r="D1707" s="5"/>
      <c r="E1707" s="5"/>
      <c r="F1707" s="5"/>
      <c r="G1707" s="5"/>
      <c r="H1707" s="112"/>
    </row>
    <row r="1708" spans="1:8" s="2" customFormat="1">
      <c r="A1708" s="5"/>
      <c r="B1708" s="5"/>
      <c r="C1708" s="5"/>
      <c r="D1708" s="5"/>
      <c r="E1708" s="5"/>
      <c r="F1708" s="5"/>
      <c r="G1708" s="5"/>
      <c r="H1708" s="112"/>
    </row>
    <row r="1709" spans="1:8" s="2" customFormat="1">
      <c r="A1709" s="5"/>
      <c r="B1709" s="5"/>
      <c r="C1709" s="5"/>
      <c r="D1709" s="5"/>
      <c r="E1709" s="5"/>
      <c r="F1709" s="5"/>
      <c r="G1709" s="5"/>
      <c r="H1709" s="112"/>
    </row>
    <row r="1710" spans="1:8" s="110" customFormat="1">
      <c r="A1710" s="5"/>
      <c r="B1710" s="111"/>
      <c r="C1710" s="111"/>
      <c r="D1710" s="125"/>
      <c r="E1710" s="126"/>
      <c r="F1710" s="127"/>
      <c r="G1710" s="5"/>
      <c r="H1710" s="124"/>
    </row>
    <row r="1711" spans="1:8" s="2" customFormat="1">
      <c r="A1711" s="5" t="s">
        <v>1125</v>
      </c>
      <c r="B1711" s="5"/>
      <c r="C1711" s="5"/>
      <c r="D1711" s="5"/>
      <c r="E1711" s="5"/>
      <c r="F1711" s="5"/>
      <c r="G1711" s="5"/>
      <c r="H1711" s="112"/>
    </row>
    <row r="1712" spans="1:8" s="2" customFormat="1">
      <c r="A1712" s="5"/>
      <c r="B1712" s="5"/>
      <c r="C1712" s="5"/>
      <c r="D1712" s="5"/>
      <c r="E1712" s="5"/>
      <c r="F1712" s="5"/>
      <c r="G1712" s="5"/>
      <c r="H1712" s="112"/>
    </row>
    <row r="1713" spans="1:8" s="2" customFormat="1">
      <c r="A1713" s="5"/>
      <c r="B1713" s="5"/>
      <c r="C1713" s="5"/>
      <c r="D1713" s="5"/>
      <c r="E1713" s="5"/>
      <c r="F1713" s="5"/>
      <c r="G1713" s="5"/>
      <c r="H1713" s="112"/>
    </row>
    <row r="1714" spans="1:8" s="2" customFormat="1">
      <c r="A1714" s="5"/>
      <c r="B1714" s="5"/>
      <c r="C1714" s="5"/>
      <c r="D1714" s="5"/>
      <c r="E1714" s="5"/>
      <c r="F1714" s="5"/>
      <c r="G1714" s="5"/>
      <c r="H1714" s="112"/>
    </row>
    <row r="1715" spans="1:8" s="2" customFormat="1">
      <c r="A1715" s="5"/>
      <c r="B1715" s="5"/>
      <c r="C1715" s="5"/>
      <c r="D1715" s="5"/>
      <c r="E1715" s="5"/>
      <c r="F1715" s="5"/>
      <c r="G1715" s="5"/>
      <c r="H1715" s="112"/>
    </row>
    <row r="1716" spans="1:8" s="2" customFormat="1">
      <c r="A1716" s="5"/>
      <c r="B1716" s="5"/>
      <c r="C1716" s="5"/>
      <c r="D1716" s="5"/>
      <c r="E1716" s="5"/>
      <c r="F1716" s="5"/>
      <c r="G1716" s="5"/>
      <c r="H1716" s="112"/>
    </row>
    <row r="1717" spans="1:8" s="2" customFormat="1">
      <c r="A1717" s="5"/>
      <c r="B1717" s="5"/>
      <c r="C1717" s="5"/>
      <c r="D1717" s="5"/>
      <c r="E1717" s="5"/>
      <c r="F1717" s="5"/>
      <c r="G1717" s="5"/>
      <c r="H1717" s="112"/>
    </row>
    <row r="1718" spans="1:8" s="2" customFormat="1">
      <c r="A1718" s="5"/>
      <c r="B1718" s="5"/>
      <c r="C1718" s="5"/>
      <c r="D1718" s="5"/>
      <c r="E1718" s="5"/>
      <c r="F1718" s="5"/>
      <c r="G1718" s="5"/>
      <c r="H1718" s="112"/>
    </row>
    <row r="1719" spans="1:8" s="2" customFormat="1">
      <c r="A1719" s="5"/>
      <c r="B1719" s="5"/>
      <c r="C1719" s="5"/>
      <c r="D1719" s="5"/>
      <c r="E1719" s="5"/>
      <c r="F1719" s="5"/>
      <c r="G1719" s="5"/>
      <c r="H1719" s="112"/>
    </row>
    <row r="1720" spans="1:8" s="2" customFormat="1">
      <c r="A1720" s="5"/>
      <c r="B1720" s="5"/>
      <c r="C1720" s="5"/>
      <c r="D1720" s="5"/>
      <c r="E1720" s="5"/>
      <c r="F1720" s="5"/>
      <c r="G1720" s="5"/>
      <c r="H1720" s="112"/>
    </row>
    <row r="1721" spans="1:8" s="2" customFormat="1">
      <c r="A1721" s="5"/>
      <c r="B1721" s="5"/>
      <c r="C1721" s="5"/>
      <c r="D1721" s="5"/>
      <c r="E1721" s="5"/>
      <c r="F1721" s="5"/>
      <c r="G1721" s="5"/>
      <c r="H1721" s="112"/>
    </row>
    <row r="1722" spans="1:8" s="2" customFormat="1">
      <c r="A1722" s="5"/>
      <c r="B1722" s="5"/>
      <c r="C1722" s="5"/>
      <c r="D1722" s="5"/>
      <c r="E1722" s="5"/>
      <c r="F1722" s="5"/>
      <c r="G1722" s="5"/>
      <c r="H1722" s="112"/>
    </row>
    <row r="1723" spans="1:8">
      <c r="B1723" s="5"/>
      <c r="C1723" s="5"/>
      <c r="D1723" s="125"/>
      <c r="E1723" s="126"/>
      <c r="F1723" s="127"/>
      <c r="G1723" s="5"/>
    </row>
    <row r="1724" spans="1:8">
      <c r="B1724" s="5"/>
      <c r="C1724" s="5"/>
      <c r="D1724" s="125"/>
      <c r="E1724" s="126"/>
      <c r="F1724" s="127"/>
      <c r="G1724" s="5"/>
    </row>
    <row r="1725" spans="1:8">
      <c r="B1725" s="5"/>
      <c r="C1725" s="5"/>
      <c r="D1725" s="125"/>
      <c r="E1725" s="126"/>
      <c r="F1725" s="127"/>
      <c r="G1725" s="5"/>
    </row>
    <row r="1726" spans="1:8">
      <c r="B1726" s="5"/>
      <c r="C1726" s="5"/>
      <c r="D1726" s="125"/>
      <c r="E1726" s="126"/>
      <c r="F1726" s="127"/>
      <c r="G1726" s="5"/>
    </row>
    <row r="1727" spans="1:8">
      <c r="B1727" s="5"/>
      <c r="C1727" s="5"/>
      <c r="D1727" s="125"/>
      <c r="E1727" s="126"/>
      <c r="F1727" s="127"/>
      <c r="G1727" s="5"/>
    </row>
    <row r="1728" spans="1:8">
      <c r="B1728" s="5"/>
      <c r="C1728" s="5"/>
      <c r="D1728" s="125"/>
      <c r="E1728" s="126"/>
      <c r="F1728" s="127"/>
      <c r="G1728" s="5"/>
    </row>
    <row r="1729" spans="2:7">
      <c r="B1729" s="5"/>
      <c r="C1729" s="5"/>
      <c r="D1729" s="125"/>
      <c r="E1729" s="126"/>
      <c r="F1729" s="127"/>
      <c r="G1729" s="5"/>
    </row>
    <row r="1730" spans="2:7">
      <c r="B1730" s="5"/>
      <c r="C1730" s="5"/>
      <c r="D1730" s="125"/>
      <c r="E1730" s="126"/>
      <c r="F1730" s="127"/>
      <c r="G1730" s="5"/>
    </row>
    <row r="1731" spans="2:7">
      <c r="B1731" s="5"/>
      <c r="C1731" s="5"/>
      <c r="D1731" s="125"/>
      <c r="E1731" s="126"/>
      <c r="F1731" s="127"/>
      <c r="G1731" s="5"/>
    </row>
    <row r="1732" spans="2:7">
      <c r="B1732" s="5"/>
      <c r="C1732" s="5"/>
      <c r="D1732" s="125"/>
      <c r="E1732" s="126"/>
      <c r="F1732" s="127"/>
      <c r="G1732" s="5"/>
    </row>
    <row r="1733" spans="2:7">
      <c r="B1733" s="5"/>
      <c r="C1733" s="5"/>
      <c r="D1733" s="125"/>
      <c r="E1733" s="126"/>
      <c r="F1733" s="127"/>
      <c r="G1733" s="5"/>
    </row>
    <row r="1734" spans="2:7">
      <c r="B1734" s="111"/>
      <c r="C1734" s="111"/>
      <c r="D1734" s="125"/>
      <c r="E1734" s="126"/>
      <c r="F1734" s="127"/>
      <c r="G1734" s="5"/>
    </row>
    <row r="1735" spans="2:7">
      <c r="B1735" s="5"/>
      <c r="C1735" s="5"/>
      <c r="D1735" s="125"/>
      <c r="E1735" s="126"/>
      <c r="F1735" s="127"/>
      <c r="G1735" s="5"/>
    </row>
    <row r="1736" spans="2:7">
      <c r="B1736" s="5"/>
      <c r="C1736" s="5"/>
      <c r="D1736" s="125"/>
      <c r="E1736" s="126"/>
      <c r="F1736" s="127"/>
      <c r="G1736" s="5"/>
    </row>
    <row r="1737" spans="2:7">
      <c r="B1737" s="5"/>
      <c r="C1737" s="5"/>
      <c r="D1737" s="125"/>
      <c r="E1737" s="126"/>
      <c r="F1737" s="127"/>
      <c r="G1737" s="5"/>
    </row>
    <row r="1738" spans="2:7">
      <c r="B1738" s="5"/>
      <c r="C1738" s="5"/>
      <c r="D1738" s="125"/>
      <c r="E1738" s="126"/>
      <c r="F1738" s="127"/>
      <c r="G1738" s="5"/>
    </row>
    <row r="1739" spans="2:7">
      <c r="B1739" s="5"/>
      <c r="C1739" s="5"/>
      <c r="D1739" s="125"/>
      <c r="E1739" s="126"/>
      <c r="F1739" s="127"/>
      <c r="G1739" s="5"/>
    </row>
    <row r="1740" spans="2:7">
      <c r="B1740" s="5"/>
      <c r="C1740" s="5"/>
      <c r="D1740" s="125"/>
      <c r="E1740" s="126"/>
      <c r="F1740" s="127"/>
      <c r="G1740" s="5"/>
    </row>
    <row r="1741" spans="2:7">
      <c r="B1741" s="5"/>
      <c r="C1741" s="5"/>
      <c r="D1741" s="125"/>
      <c r="E1741" s="126"/>
      <c r="F1741" s="127"/>
      <c r="G1741" s="5"/>
    </row>
    <row r="1742" spans="2:7">
      <c r="B1742" s="5"/>
      <c r="C1742" s="5"/>
      <c r="D1742" s="125"/>
      <c r="E1742" s="126"/>
      <c r="F1742" s="127"/>
      <c r="G1742" s="5"/>
    </row>
    <row r="1743" spans="2:7">
      <c r="B1743" s="5"/>
      <c r="C1743" s="5"/>
      <c r="D1743" s="125"/>
      <c r="E1743" s="126"/>
      <c r="F1743" s="127"/>
      <c r="G1743" s="5"/>
    </row>
    <row r="1744" spans="2:7">
      <c r="B1744" s="5"/>
      <c r="C1744" s="5"/>
      <c r="D1744" s="125"/>
      <c r="E1744" s="126"/>
      <c r="F1744" s="127"/>
      <c r="G1744" s="5"/>
    </row>
    <row r="1745" spans="2:7">
      <c r="B1745" s="5"/>
      <c r="C1745" s="5"/>
      <c r="D1745" s="125"/>
      <c r="E1745" s="126"/>
      <c r="F1745" s="127"/>
      <c r="G1745" s="5"/>
    </row>
    <row r="1746" spans="2:7">
      <c r="B1746" s="5"/>
      <c r="C1746" s="5"/>
      <c r="D1746" s="125"/>
      <c r="E1746" s="126"/>
      <c r="F1746" s="127"/>
      <c r="G1746" s="5"/>
    </row>
    <row r="1747" spans="2:7">
      <c r="B1747" s="111"/>
      <c r="C1747" s="111"/>
      <c r="D1747" s="125"/>
      <c r="E1747" s="126"/>
      <c r="F1747" s="127"/>
      <c r="G1747" s="5"/>
    </row>
    <row r="1748" spans="2:7">
      <c r="B1748" s="111"/>
      <c r="C1748" s="111"/>
      <c r="D1748" s="125"/>
      <c r="E1748" s="126"/>
      <c r="F1748" s="127"/>
      <c r="G1748" s="5"/>
    </row>
    <row r="1749" spans="2:7">
      <c r="B1749" s="111"/>
      <c r="C1749" s="111"/>
      <c r="D1749" s="125"/>
      <c r="E1749" s="126"/>
      <c r="F1749" s="127"/>
      <c r="G1749" s="5"/>
    </row>
    <row r="1750" spans="2:7">
      <c r="B1750" s="111"/>
      <c r="C1750" s="111"/>
      <c r="D1750" s="125"/>
      <c r="E1750" s="126"/>
      <c r="F1750" s="127"/>
      <c r="G1750" s="5"/>
    </row>
    <row r="1751" spans="2:7">
      <c r="B1751" s="111"/>
      <c r="C1751" s="111"/>
      <c r="D1751" s="125"/>
      <c r="E1751" s="126"/>
      <c r="F1751" s="127"/>
      <c r="G1751" s="5"/>
    </row>
    <row r="1752" spans="2:7">
      <c r="B1752" s="111"/>
      <c r="C1752" s="111"/>
      <c r="D1752" s="125"/>
      <c r="E1752" s="126"/>
      <c r="F1752" s="127"/>
      <c r="G1752" s="5"/>
    </row>
    <row r="1753" spans="2:7">
      <c r="B1753" s="111"/>
      <c r="C1753" s="111"/>
      <c r="D1753" s="125"/>
      <c r="E1753" s="126"/>
      <c r="F1753" s="127"/>
      <c r="G1753" s="5"/>
    </row>
    <row r="1754" spans="2:7">
      <c r="B1754" s="111"/>
      <c r="C1754" s="111"/>
      <c r="D1754" s="125"/>
      <c r="E1754" s="126"/>
      <c r="F1754" s="127"/>
      <c r="G1754" s="5"/>
    </row>
    <row r="1755" spans="2:7">
      <c r="B1755" s="111"/>
      <c r="C1755" s="111"/>
      <c r="D1755" s="125"/>
      <c r="E1755" s="126"/>
      <c r="F1755" s="127"/>
      <c r="G1755" s="5"/>
    </row>
    <row r="1756" spans="2:7">
      <c r="B1756" s="111"/>
      <c r="C1756" s="111"/>
      <c r="D1756" s="125"/>
      <c r="E1756" s="126"/>
      <c r="F1756" s="127"/>
      <c r="G1756" s="5"/>
    </row>
    <row r="1757" spans="2:7">
      <c r="B1757" s="111"/>
      <c r="C1757" s="111"/>
      <c r="D1757" s="125"/>
      <c r="E1757" s="126"/>
      <c r="F1757" s="127"/>
      <c r="G1757" s="5"/>
    </row>
    <row r="1758" spans="2:7">
      <c r="B1758" s="111"/>
      <c r="C1758" s="111"/>
      <c r="D1758" s="125"/>
      <c r="E1758" s="126"/>
      <c r="F1758" s="127"/>
      <c r="G1758" s="5"/>
    </row>
    <row r="1759" spans="2:7">
      <c r="B1759" s="111"/>
      <c r="C1759" s="111"/>
      <c r="D1759" s="125"/>
      <c r="E1759" s="126"/>
      <c r="F1759" s="127"/>
      <c r="G1759" s="5"/>
    </row>
    <row r="1760" spans="2:7">
      <c r="B1760" s="111"/>
      <c r="C1760" s="111"/>
      <c r="D1760" s="125"/>
      <c r="E1760" s="126"/>
      <c r="F1760" s="127"/>
      <c r="G1760" s="5"/>
    </row>
    <row r="1761" spans="2:7">
      <c r="B1761" s="111"/>
      <c r="C1761" s="111"/>
      <c r="D1761" s="125"/>
      <c r="E1761" s="126"/>
      <c r="F1761" s="127"/>
      <c r="G1761" s="5"/>
    </row>
    <row r="1762" spans="2:7">
      <c r="B1762" s="111"/>
      <c r="C1762" s="111"/>
      <c r="D1762" s="125"/>
      <c r="E1762" s="126"/>
      <c r="F1762" s="127"/>
      <c r="G1762" s="5"/>
    </row>
    <row r="1763" spans="2:7">
      <c r="B1763" s="111"/>
      <c r="C1763" s="111"/>
      <c r="D1763" s="125"/>
      <c r="E1763" s="126"/>
      <c r="F1763" s="127"/>
      <c r="G1763" s="5"/>
    </row>
    <row r="1764" spans="2:7">
      <c r="B1764" s="111"/>
      <c r="C1764" s="111"/>
      <c r="D1764" s="125"/>
      <c r="E1764" s="126"/>
      <c r="F1764" s="127"/>
      <c r="G1764" s="5"/>
    </row>
    <row r="1765" spans="2:7">
      <c r="B1765" s="111"/>
      <c r="C1765" s="111"/>
      <c r="D1765" s="125"/>
      <c r="E1765" s="126"/>
      <c r="F1765" s="127"/>
      <c r="G1765" s="5"/>
    </row>
    <row r="1766" spans="2:7">
      <c r="B1766" s="111"/>
      <c r="C1766" s="111"/>
      <c r="D1766" s="125"/>
      <c r="E1766" s="126"/>
      <c r="F1766" s="127"/>
      <c r="G1766" s="5"/>
    </row>
    <row r="1767" spans="2:7">
      <c r="B1767" s="111"/>
      <c r="C1767" s="111"/>
      <c r="D1767" s="125"/>
      <c r="E1767" s="126"/>
      <c r="F1767" s="127"/>
      <c r="G1767" s="5"/>
    </row>
    <row r="1768" spans="2:7">
      <c r="B1768" s="111"/>
      <c r="C1768" s="111"/>
      <c r="D1768" s="125"/>
      <c r="E1768" s="126"/>
      <c r="F1768" s="127"/>
      <c r="G1768" s="5"/>
    </row>
    <row r="1769" spans="2:7">
      <c r="B1769" s="111"/>
      <c r="C1769" s="111"/>
      <c r="D1769" s="125"/>
      <c r="E1769" s="126"/>
      <c r="F1769" s="127"/>
      <c r="G1769" s="5"/>
    </row>
    <row r="1770" spans="2:7">
      <c r="B1770" s="111"/>
      <c r="C1770" s="111"/>
      <c r="D1770" s="125"/>
      <c r="E1770" s="126"/>
      <c r="F1770" s="127"/>
      <c r="G1770" s="5"/>
    </row>
    <row r="1771" spans="2:7">
      <c r="B1771" s="111"/>
      <c r="C1771" s="111"/>
      <c r="D1771" s="125"/>
      <c r="E1771" s="126"/>
      <c r="F1771" s="127"/>
      <c r="G1771" s="5"/>
    </row>
    <row r="1772" spans="2:7">
      <c r="B1772" s="111"/>
      <c r="C1772" s="111"/>
      <c r="D1772" s="125"/>
      <c r="E1772" s="126"/>
      <c r="F1772" s="127"/>
      <c r="G1772" s="5"/>
    </row>
    <row r="1773" spans="2:7">
      <c r="B1773" s="111"/>
      <c r="C1773" s="111"/>
      <c r="D1773" s="125"/>
      <c r="E1773" s="126"/>
      <c r="F1773" s="127"/>
      <c r="G1773" s="5"/>
    </row>
    <row r="1774" spans="2:7">
      <c r="B1774" s="111"/>
      <c r="C1774" s="111"/>
      <c r="D1774" s="125"/>
      <c r="E1774" s="126"/>
      <c r="F1774" s="127"/>
      <c r="G1774" s="5"/>
    </row>
    <row r="1775" spans="2:7">
      <c r="B1775" s="111"/>
      <c r="C1775" s="111"/>
      <c r="D1775" s="125"/>
      <c r="E1775" s="126"/>
      <c r="F1775" s="127"/>
      <c r="G1775" s="5"/>
    </row>
    <row r="1776" spans="2:7">
      <c r="B1776" s="111"/>
      <c r="C1776" s="111"/>
      <c r="D1776" s="125"/>
      <c r="E1776" s="126"/>
      <c r="F1776" s="127"/>
      <c r="G1776" s="5"/>
    </row>
    <row r="1777" spans="2:7">
      <c r="B1777" s="111"/>
      <c r="C1777" s="111"/>
      <c r="D1777" s="125"/>
      <c r="E1777" s="126"/>
      <c r="F1777" s="127"/>
      <c r="G1777" s="5"/>
    </row>
    <row r="1778" spans="2:7">
      <c r="B1778" s="111"/>
      <c r="C1778" s="111"/>
      <c r="D1778" s="125"/>
      <c r="E1778" s="126"/>
      <c r="F1778" s="127"/>
      <c r="G1778" s="5"/>
    </row>
    <row r="1779" spans="2:7">
      <c r="B1779" s="111"/>
      <c r="C1779" s="111"/>
      <c r="D1779" s="125"/>
      <c r="E1779" s="126"/>
      <c r="F1779" s="127"/>
      <c r="G1779" s="5"/>
    </row>
    <row r="1780" spans="2:7">
      <c r="B1780" s="111"/>
      <c r="C1780" s="111"/>
      <c r="D1780" s="125"/>
      <c r="E1780" s="126"/>
      <c r="F1780" s="127"/>
      <c r="G1780" s="5"/>
    </row>
    <row r="1781" spans="2:7">
      <c r="B1781" s="111"/>
      <c r="C1781" s="111"/>
      <c r="D1781" s="125"/>
      <c r="E1781" s="126"/>
      <c r="F1781" s="127"/>
      <c r="G1781" s="5"/>
    </row>
    <row r="1782" spans="2:7">
      <c r="B1782" s="111"/>
      <c r="C1782" s="111"/>
      <c r="D1782" s="125"/>
      <c r="E1782" s="126"/>
      <c r="F1782" s="127"/>
      <c r="G1782" s="5"/>
    </row>
    <row r="1783" spans="2:7">
      <c r="B1783" s="111"/>
      <c r="C1783" s="111"/>
      <c r="D1783" s="125"/>
      <c r="E1783" s="126"/>
      <c r="F1783" s="127"/>
      <c r="G1783" s="5"/>
    </row>
    <row r="1784" spans="2:7">
      <c r="B1784" s="111"/>
      <c r="C1784" s="111"/>
      <c r="D1784" s="125"/>
      <c r="E1784" s="126"/>
      <c r="F1784" s="127"/>
      <c r="G1784" s="5"/>
    </row>
    <row r="1785" spans="2:7">
      <c r="B1785" s="111"/>
      <c r="C1785" s="111"/>
      <c r="D1785" s="125"/>
      <c r="E1785" s="126"/>
      <c r="F1785" s="127"/>
      <c r="G1785" s="5"/>
    </row>
    <row r="1786" spans="2:7">
      <c r="B1786" s="111"/>
      <c r="C1786" s="111"/>
      <c r="D1786" s="125"/>
      <c r="E1786" s="126"/>
      <c r="F1786" s="127"/>
      <c r="G1786" s="5"/>
    </row>
    <row r="1787" spans="2:7">
      <c r="B1787" s="111"/>
      <c r="C1787" s="111"/>
      <c r="D1787" s="125"/>
      <c r="E1787" s="126"/>
      <c r="F1787" s="127"/>
      <c r="G1787" s="5"/>
    </row>
    <row r="1788" spans="2:7">
      <c r="B1788" s="111"/>
      <c r="C1788" s="111"/>
      <c r="D1788" s="125"/>
      <c r="E1788" s="126"/>
      <c r="F1788" s="127"/>
      <c r="G1788" s="5"/>
    </row>
    <row r="1789" spans="2:7">
      <c r="B1789" s="111"/>
      <c r="C1789" s="111"/>
      <c r="D1789" s="125"/>
      <c r="E1789" s="126"/>
      <c r="F1789" s="127"/>
      <c r="G1789" s="5"/>
    </row>
    <row r="1790" spans="2:7">
      <c r="B1790" s="111"/>
      <c r="C1790" s="111"/>
      <c r="D1790" s="125"/>
      <c r="E1790" s="126"/>
      <c r="F1790" s="127"/>
      <c r="G1790" s="5"/>
    </row>
    <row r="1791" spans="2:7">
      <c r="B1791" s="111"/>
      <c r="C1791" s="111"/>
      <c r="D1791" s="125"/>
      <c r="E1791" s="126"/>
      <c r="F1791" s="127"/>
      <c r="G1791" s="5"/>
    </row>
    <row r="1792" spans="2:7">
      <c r="B1792" s="111"/>
      <c r="C1792" s="111"/>
      <c r="D1792" s="125"/>
      <c r="E1792" s="126"/>
      <c r="F1792" s="127"/>
      <c r="G1792" s="5"/>
    </row>
    <row r="1793" spans="2:7">
      <c r="B1793" s="111"/>
      <c r="C1793" s="111"/>
      <c r="D1793" s="125"/>
      <c r="E1793" s="126"/>
      <c r="F1793" s="127"/>
      <c r="G1793" s="5"/>
    </row>
    <row r="1794" spans="2:7">
      <c r="B1794" s="111"/>
      <c r="C1794" s="111"/>
      <c r="D1794" s="125"/>
      <c r="E1794" s="126"/>
      <c r="F1794" s="127"/>
      <c r="G1794" s="5"/>
    </row>
    <row r="1795" spans="2:7">
      <c r="B1795" s="111"/>
      <c r="C1795" s="111"/>
      <c r="D1795" s="125"/>
      <c r="E1795" s="126"/>
      <c r="F1795" s="127"/>
      <c r="G1795" s="5"/>
    </row>
    <row r="1796" spans="2:7">
      <c r="B1796" s="111"/>
      <c r="C1796" s="111"/>
      <c r="D1796" s="125"/>
      <c r="E1796" s="126"/>
      <c r="F1796" s="127"/>
      <c r="G1796" s="5"/>
    </row>
    <row r="1797" spans="2:7">
      <c r="B1797" s="111"/>
      <c r="C1797" s="111"/>
      <c r="D1797" s="125"/>
      <c r="E1797" s="126"/>
      <c r="F1797" s="127"/>
      <c r="G1797" s="5"/>
    </row>
    <row r="1798" spans="2:7">
      <c r="B1798" s="111"/>
      <c r="C1798" s="111"/>
      <c r="D1798" s="125"/>
      <c r="E1798" s="126"/>
      <c r="F1798" s="127"/>
      <c r="G1798" s="5"/>
    </row>
    <row r="1799" spans="2:7">
      <c r="B1799" s="111"/>
      <c r="C1799" s="111"/>
      <c r="D1799" s="125"/>
      <c r="E1799" s="126"/>
      <c r="F1799" s="127"/>
      <c r="G1799" s="5"/>
    </row>
    <row r="1800" spans="2:7">
      <c r="B1800" s="111"/>
      <c r="C1800" s="111"/>
      <c r="D1800" s="125"/>
      <c r="E1800" s="126"/>
      <c r="F1800" s="127"/>
      <c r="G1800" s="5"/>
    </row>
    <row r="1801" spans="2:7">
      <c r="B1801" s="111"/>
      <c r="C1801" s="111"/>
      <c r="D1801" s="125"/>
      <c r="E1801" s="126"/>
      <c r="F1801" s="127"/>
      <c r="G1801" s="5"/>
    </row>
    <row r="1802" spans="2:7">
      <c r="B1802" s="111"/>
      <c r="C1802" s="111"/>
      <c r="D1802" s="125"/>
      <c r="E1802" s="126"/>
      <c r="F1802" s="127"/>
      <c r="G1802" s="5"/>
    </row>
    <row r="1803" spans="2:7">
      <c r="B1803" s="111"/>
      <c r="C1803" s="111"/>
      <c r="D1803" s="125"/>
      <c r="E1803" s="126"/>
      <c r="F1803" s="127"/>
      <c r="G1803" s="5"/>
    </row>
    <row r="1804" spans="2:7">
      <c r="B1804" s="111"/>
      <c r="C1804" s="111"/>
      <c r="D1804" s="125"/>
      <c r="E1804" s="126"/>
      <c r="F1804" s="127"/>
      <c r="G1804" s="5"/>
    </row>
    <row r="1805" spans="2:7">
      <c r="B1805" s="111"/>
      <c r="C1805" s="111"/>
      <c r="D1805" s="125"/>
      <c r="E1805" s="126"/>
      <c r="F1805" s="127"/>
      <c r="G1805" s="5"/>
    </row>
    <row r="1806" spans="2:7">
      <c r="B1806" s="111"/>
      <c r="C1806" s="111"/>
      <c r="D1806" s="125"/>
      <c r="E1806" s="126"/>
      <c r="F1806" s="127"/>
      <c r="G1806" s="5"/>
    </row>
    <row r="1807" spans="2:7">
      <c r="B1807" s="111"/>
      <c r="C1807" s="111"/>
      <c r="D1807" s="125"/>
      <c r="E1807" s="126"/>
      <c r="F1807" s="127"/>
      <c r="G1807" s="5"/>
    </row>
    <row r="1808" spans="2:7">
      <c r="B1808" s="111"/>
      <c r="C1808" s="111"/>
      <c r="D1808" s="125"/>
      <c r="E1808" s="126"/>
      <c r="F1808" s="127"/>
      <c r="G1808" s="5"/>
    </row>
    <row r="1809" spans="2:7">
      <c r="B1809" s="111"/>
      <c r="C1809" s="111"/>
      <c r="D1809" s="125"/>
      <c r="E1809" s="126"/>
      <c r="F1809" s="127"/>
      <c r="G1809" s="5"/>
    </row>
    <row r="1810" spans="2:7">
      <c r="B1810" s="111"/>
      <c r="C1810" s="111"/>
      <c r="D1810" s="125"/>
      <c r="E1810" s="126"/>
      <c r="F1810" s="127"/>
      <c r="G1810" s="5"/>
    </row>
    <row r="1811" spans="2:7">
      <c r="B1811" s="111"/>
      <c r="C1811" s="111"/>
      <c r="D1811" s="125"/>
      <c r="E1811" s="126"/>
      <c r="F1811" s="127"/>
      <c r="G1811" s="5"/>
    </row>
    <row r="1812" spans="2:7">
      <c r="B1812" s="111"/>
      <c r="C1812" s="111"/>
      <c r="D1812" s="125"/>
      <c r="E1812" s="126"/>
      <c r="F1812" s="127"/>
      <c r="G1812" s="5"/>
    </row>
    <row r="1813" spans="2:7">
      <c r="B1813" s="111"/>
      <c r="C1813" s="111"/>
      <c r="D1813" s="125"/>
      <c r="E1813" s="126"/>
      <c r="F1813" s="127"/>
      <c r="G1813" s="5"/>
    </row>
    <row r="1814" spans="2:7">
      <c r="B1814" s="111"/>
      <c r="C1814" s="111"/>
      <c r="D1814" s="125"/>
      <c r="E1814" s="126"/>
      <c r="F1814" s="127"/>
      <c r="G1814" s="5"/>
    </row>
    <row r="1815" spans="2:7">
      <c r="B1815" s="111"/>
      <c r="C1815" s="111"/>
      <c r="D1815" s="125"/>
      <c r="E1815" s="126"/>
      <c r="F1815" s="127"/>
      <c r="G1815" s="5"/>
    </row>
    <row r="1816" spans="2:7">
      <c r="B1816" s="111"/>
      <c r="C1816" s="111"/>
      <c r="D1816" s="125"/>
      <c r="E1816" s="126"/>
      <c r="F1816" s="127"/>
      <c r="G1816" s="5"/>
    </row>
    <row r="1817" spans="2:7">
      <c r="B1817" s="111"/>
      <c r="C1817" s="111"/>
      <c r="D1817" s="125"/>
      <c r="E1817" s="126"/>
      <c r="F1817" s="127"/>
      <c r="G1817" s="5"/>
    </row>
    <row r="1818" spans="2:7">
      <c r="B1818" s="111"/>
      <c r="C1818" s="111"/>
      <c r="D1818" s="125"/>
      <c r="E1818" s="126"/>
      <c r="F1818" s="127"/>
      <c r="G1818" s="5"/>
    </row>
    <row r="1819" spans="2:7">
      <c r="B1819" s="111"/>
      <c r="C1819" s="111"/>
      <c r="D1819" s="125"/>
      <c r="E1819" s="126"/>
      <c r="F1819" s="127"/>
      <c r="G1819" s="5"/>
    </row>
    <row r="1820" spans="2:7">
      <c r="B1820" s="111"/>
      <c r="C1820" s="111"/>
      <c r="D1820" s="125"/>
      <c r="E1820" s="126"/>
      <c r="F1820" s="127"/>
      <c r="G1820" s="5"/>
    </row>
    <row r="1821" spans="2:7">
      <c r="B1821" s="111"/>
      <c r="C1821" s="111"/>
      <c r="D1821" s="125"/>
      <c r="E1821" s="126"/>
      <c r="F1821" s="127"/>
      <c r="G1821" s="5"/>
    </row>
    <row r="1822" spans="2:7">
      <c r="B1822" s="111"/>
      <c r="C1822" s="111"/>
      <c r="D1822" s="125"/>
      <c r="E1822" s="126"/>
      <c r="F1822" s="127"/>
      <c r="G1822" s="5"/>
    </row>
    <row r="1823" spans="2:7">
      <c r="B1823" s="111"/>
      <c r="C1823" s="111"/>
      <c r="D1823" s="125"/>
      <c r="E1823" s="126"/>
      <c r="F1823" s="127"/>
      <c r="G1823" s="5"/>
    </row>
    <row r="1824" spans="2:7">
      <c r="B1824" s="111"/>
      <c r="C1824" s="111"/>
      <c r="D1824" s="125"/>
      <c r="E1824" s="126"/>
      <c r="F1824" s="127"/>
      <c r="G1824" s="5"/>
    </row>
    <row r="1825" spans="2:7">
      <c r="B1825" s="111"/>
      <c r="C1825" s="111"/>
      <c r="D1825" s="125"/>
      <c r="E1825" s="126"/>
      <c r="F1825" s="127"/>
      <c r="G1825" s="5"/>
    </row>
    <row r="1826" spans="2:7">
      <c r="B1826" s="111"/>
      <c r="C1826" s="111"/>
      <c r="D1826" s="125"/>
      <c r="E1826" s="126"/>
      <c r="F1826" s="127"/>
      <c r="G1826" s="5"/>
    </row>
    <row r="1827" spans="2:7">
      <c r="B1827" s="111"/>
      <c r="C1827" s="111"/>
      <c r="D1827" s="125"/>
      <c r="E1827" s="126"/>
      <c r="F1827" s="127"/>
      <c r="G1827" s="5"/>
    </row>
    <row r="1828" spans="2:7">
      <c r="B1828" s="111"/>
      <c r="C1828" s="111"/>
      <c r="D1828" s="125"/>
      <c r="E1828" s="126"/>
      <c r="F1828" s="127"/>
      <c r="G1828" s="5"/>
    </row>
    <row r="1829" spans="2:7">
      <c r="B1829" s="111"/>
      <c r="C1829" s="111"/>
      <c r="D1829" s="125"/>
      <c r="E1829" s="126"/>
      <c r="F1829" s="127"/>
      <c r="G1829" s="5"/>
    </row>
    <row r="1830" spans="2:7">
      <c r="B1830" s="111"/>
      <c r="C1830" s="111"/>
      <c r="D1830" s="125"/>
      <c r="E1830" s="126"/>
      <c r="F1830" s="127"/>
      <c r="G1830" s="5"/>
    </row>
    <row r="1831" spans="2:7">
      <c r="B1831" s="111"/>
      <c r="C1831" s="111"/>
      <c r="D1831" s="125"/>
      <c r="E1831" s="126"/>
      <c r="F1831" s="127"/>
      <c r="G1831" s="5"/>
    </row>
    <row r="1832" spans="2:7">
      <c r="B1832" s="111"/>
      <c r="C1832" s="111"/>
      <c r="D1832" s="125"/>
      <c r="E1832" s="126"/>
      <c r="F1832" s="127"/>
      <c r="G1832" s="5"/>
    </row>
    <row r="1833" spans="2:7">
      <c r="B1833" s="111"/>
      <c r="C1833" s="111"/>
      <c r="D1833" s="125"/>
      <c r="E1833" s="126"/>
      <c r="F1833" s="127"/>
      <c r="G1833" s="5"/>
    </row>
    <row r="1834" spans="2:7">
      <c r="B1834" s="111"/>
      <c r="C1834" s="111"/>
      <c r="D1834" s="125"/>
      <c r="E1834" s="126"/>
      <c r="F1834" s="127"/>
      <c r="G1834" s="5"/>
    </row>
    <row r="1835" spans="2:7">
      <c r="B1835" s="111"/>
      <c r="C1835" s="111"/>
      <c r="D1835" s="125"/>
      <c r="E1835" s="126"/>
      <c r="F1835" s="127"/>
      <c r="G1835" s="5"/>
    </row>
    <row r="1836" spans="2:7">
      <c r="B1836" s="111"/>
      <c r="C1836" s="111"/>
      <c r="D1836" s="125"/>
      <c r="E1836" s="126"/>
      <c r="F1836" s="127"/>
      <c r="G1836" s="5"/>
    </row>
    <row r="1837" spans="2:7">
      <c r="B1837" s="111"/>
      <c r="C1837" s="111"/>
      <c r="D1837" s="125"/>
      <c r="E1837" s="126"/>
      <c r="F1837" s="127"/>
      <c r="G1837" s="5"/>
    </row>
    <row r="1838" spans="2:7">
      <c r="B1838" s="5"/>
      <c r="C1838" s="5"/>
      <c r="D1838" s="125"/>
      <c r="E1838" s="126"/>
      <c r="F1838" s="127"/>
      <c r="G1838" s="5"/>
    </row>
    <row r="1839" spans="2:7">
      <c r="B1839" s="5"/>
      <c r="C1839" s="5"/>
      <c r="D1839" s="125"/>
      <c r="E1839" s="126"/>
      <c r="F1839" s="127"/>
      <c r="G1839" s="5"/>
    </row>
    <row r="1840" spans="2:7">
      <c r="B1840" s="5"/>
      <c r="C1840" s="5"/>
      <c r="D1840" s="125"/>
      <c r="E1840" s="126"/>
      <c r="F1840" s="127"/>
      <c r="G1840" s="5"/>
    </row>
    <row r="1841" spans="2:7">
      <c r="B1841" s="5"/>
      <c r="C1841" s="5"/>
      <c r="D1841" s="125"/>
      <c r="E1841" s="126"/>
      <c r="F1841" s="127"/>
      <c r="G1841" s="5"/>
    </row>
    <row r="1842" spans="2:7">
      <c r="B1842" s="5"/>
      <c r="C1842" s="5"/>
      <c r="D1842" s="125"/>
      <c r="E1842" s="126"/>
      <c r="F1842" s="127"/>
      <c r="G1842" s="5"/>
    </row>
    <row r="1843" spans="2:7">
      <c r="B1843" s="5"/>
      <c r="C1843" s="5"/>
      <c r="D1843" s="125"/>
      <c r="E1843" s="126"/>
      <c r="F1843" s="127"/>
      <c r="G1843" s="5"/>
    </row>
    <row r="1844" spans="2:7">
      <c r="B1844" s="5"/>
      <c r="C1844" s="5"/>
      <c r="D1844" s="125"/>
      <c r="E1844" s="126"/>
      <c r="F1844" s="127"/>
      <c r="G1844" s="5"/>
    </row>
    <row r="1845" spans="2:7">
      <c r="B1845" s="5"/>
      <c r="C1845" s="5"/>
      <c r="D1845" s="125"/>
      <c r="E1845" s="126"/>
      <c r="F1845" s="127"/>
      <c r="G1845" s="5"/>
    </row>
    <row r="1846" spans="2:7">
      <c r="B1846" s="5"/>
      <c r="C1846" s="5"/>
      <c r="D1846" s="125"/>
      <c r="E1846" s="126"/>
      <c r="F1846" s="127"/>
      <c r="G1846" s="5"/>
    </row>
    <row r="1847" spans="2:7">
      <c r="B1847" s="5"/>
      <c r="C1847" s="5"/>
      <c r="D1847" s="125"/>
      <c r="E1847" s="126"/>
      <c r="F1847" s="127"/>
      <c r="G1847" s="5"/>
    </row>
    <row r="1848" spans="2:7">
      <c r="B1848" s="5"/>
      <c r="C1848" s="5"/>
      <c r="D1848" s="125"/>
      <c r="E1848" s="126"/>
      <c r="F1848" s="127"/>
      <c r="G1848" s="5"/>
    </row>
    <row r="1849" spans="2:7">
      <c r="B1849" s="5"/>
      <c r="C1849" s="5"/>
      <c r="D1849" s="125"/>
      <c r="E1849" s="126"/>
      <c r="F1849" s="127"/>
      <c r="G1849" s="5"/>
    </row>
    <row r="1850" spans="2:7">
      <c r="B1850" s="5"/>
      <c r="C1850" s="5"/>
      <c r="D1850" s="125"/>
      <c r="E1850" s="126"/>
      <c r="F1850" s="127"/>
      <c r="G1850" s="5"/>
    </row>
    <row r="1851" spans="2:7">
      <c r="B1851" s="5"/>
      <c r="C1851" s="5"/>
      <c r="D1851" s="125"/>
      <c r="E1851" s="126"/>
      <c r="F1851" s="127"/>
      <c r="G1851" s="5"/>
    </row>
    <row r="1852" spans="2:7">
      <c r="B1852" s="5"/>
      <c r="C1852" s="5"/>
      <c r="D1852" s="125"/>
      <c r="E1852" s="126"/>
      <c r="F1852" s="127"/>
      <c r="G1852" s="5"/>
    </row>
    <row r="1853" spans="2:7">
      <c r="B1853" s="5"/>
      <c r="C1853" s="5"/>
      <c r="D1853" s="125"/>
      <c r="E1853" s="126"/>
      <c r="F1853" s="127"/>
      <c r="G1853" s="5"/>
    </row>
    <row r="1854" spans="2:7">
      <c r="B1854" s="5"/>
      <c r="C1854" s="5"/>
      <c r="D1854" s="125"/>
      <c r="E1854" s="126"/>
      <c r="F1854" s="127"/>
      <c r="G1854" s="5"/>
    </row>
    <row r="1855" spans="2:7">
      <c r="B1855" s="5"/>
      <c r="C1855" s="5"/>
      <c r="D1855" s="125"/>
      <c r="E1855" s="126"/>
      <c r="F1855" s="127"/>
      <c r="G1855" s="5"/>
    </row>
    <row r="1856" spans="2:7">
      <c r="B1856" s="5"/>
      <c r="C1856" s="5"/>
      <c r="D1856" s="125"/>
      <c r="E1856" s="126"/>
      <c r="F1856" s="127"/>
      <c r="G1856" s="5"/>
    </row>
    <row r="1857" spans="2:7">
      <c r="B1857" s="5"/>
      <c r="C1857" s="5"/>
      <c r="D1857" s="125"/>
      <c r="E1857" s="126"/>
      <c r="F1857" s="127"/>
      <c r="G1857" s="5"/>
    </row>
    <row r="1858" spans="2:7">
      <c r="B1858" s="5"/>
      <c r="C1858" s="5"/>
      <c r="D1858" s="125"/>
      <c r="E1858" s="126"/>
      <c r="F1858" s="127"/>
      <c r="G1858" s="5"/>
    </row>
    <row r="1859" spans="2:7">
      <c r="B1859" s="5"/>
      <c r="C1859" s="5"/>
      <c r="D1859" s="125"/>
      <c r="E1859" s="126"/>
      <c r="F1859" s="127"/>
      <c r="G1859" s="5"/>
    </row>
    <row r="1860" spans="2:7">
      <c r="B1860" s="5"/>
      <c r="C1860" s="5"/>
      <c r="D1860" s="125"/>
      <c r="E1860" s="126"/>
      <c r="F1860" s="127"/>
      <c r="G1860" s="5"/>
    </row>
    <row r="1861" spans="2:7">
      <c r="B1861" s="5"/>
      <c r="C1861" s="5"/>
      <c r="D1861" s="125"/>
      <c r="E1861" s="126"/>
      <c r="F1861" s="127"/>
      <c r="G1861" s="5"/>
    </row>
    <row r="1862" spans="2:7">
      <c r="B1862" s="5"/>
      <c r="C1862" s="5"/>
      <c r="D1862" s="125"/>
      <c r="E1862" s="126"/>
      <c r="F1862" s="127"/>
      <c r="G1862" s="5"/>
    </row>
    <row r="1863" spans="2:7">
      <c r="B1863" s="5"/>
      <c r="C1863" s="5"/>
      <c r="D1863" s="125"/>
      <c r="E1863" s="126"/>
      <c r="F1863" s="127"/>
      <c r="G1863" s="5"/>
    </row>
    <row r="1864" spans="2:7">
      <c r="B1864" s="5"/>
      <c r="C1864" s="5"/>
      <c r="D1864" s="125"/>
      <c r="E1864" s="126"/>
      <c r="F1864" s="127"/>
      <c r="G1864" s="5"/>
    </row>
    <row r="1865" spans="2:7">
      <c r="B1865" s="5"/>
      <c r="C1865" s="5"/>
      <c r="D1865" s="125"/>
      <c r="E1865" s="126"/>
      <c r="F1865" s="127"/>
      <c r="G1865" s="5"/>
    </row>
    <row r="1866" spans="2:7">
      <c r="B1866" s="5"/>
      <c r="C1866" s="312"/>
      <c r="D1866" s="312"/>
      <c r="E1866" s="312"/>
      <c r="F1866" s="312"/>
      <c r="G1866" s="312"/>
    </row>
    <row r="1867" spans="2:7">
      <c r="B1867" s="5"/>
      <c r="C1867" s="5"/>
      <c r="D1867" s="125"/>
      <c r="E1867" s="126"/>
      <c r="F1867" s="127"/>
      <c r="G1867" s="5"/>
    </row>
    <row r="1868" spans="2:7">
      <c r="B1868" s="5"/>
      <c r="C1868" s="5"/>
      <c r="D1868" s="125"/>
      <c r="E1868" s="126"/>
      <c r="F1868" s="127"/>
      <c r="G1868" s="5"/>
    </row>
    <row r="1869" spans="2:7">
      <c r="B1869" s="5"/>
      <c r="C1869" s="5"/>
      <c r="D1869" s="125"/>
      <c r="E1869" s="126"/>
      <c r="F1869" s="127"/>
      <c r="G1869" s="5"/>
    </row>
    <row r="1870" spans="2:7">
      <c r="B1870" s="5"/>
      <c r="C1870" s="5"/>
      <c r="D1870" s="125"/>
      <c r="E1870" s="126"/>
      <c r="F1870" s="127"/>
      <c r="G1870" s="5"/>
    </row>
    <row r="1871" spans="2:7">
      <c r="B1871" s="5"/>
      <c r="C1871" s="5"/>
      <c r="D1871" s="125"/>
      <c r="E1871" s="126"/>
      <c r="F1871" s="127"/>
      <c r="G1871" s="5"/>
    </row>
    <row r="1872" spans="2:7">
      <c r="B1872" s="5"/>
      <c r="C1872" s="5"/>
      <c r="D1872" s="125"/>
      <c r="E1872" s="126"/>
      <c r="F1872" s="127"/>
      <c r="G1872" s="5"/>
    </row>
    <row r="1873" spans="2:7">
      <c r="B1873" s="5"/>
      <c r="C1873" s="5"/>
      <c r="D1873" s="125"/>
      <c r="E1873" s="126"/>
      <c r="F1873" s="127"/>
      <c r="G1873" s="5"/>
    </row>
    <row r="1874" spans="2:7">
      <c r="B1874" s="5"/>
      <c r="C1874" s="5"/>
      <c r="D1874" s="125"/>
      <c r="E1874" s="126"/>
      <c r="F1874" s="127"/>
      <c r="G1874" s="5"/>
    </row>
    <row r="1875" spans="2:7">
      <c r="B1875" s="5"/>
      <c r="C1875" s="5"/>
      <c r="D1875" s="125"/>
      <c r="E1875" s="126"/>
      <c r="F1875" s="127"/>
      <c r="G1875" s="5"/>
    </row>
    <row r="1876" spans="2:7">
      <c r="B1876" s="5"/>
      <c r="C1876" s="5"/>
      <c r="D1876" s="125"/>
      <c r="E1876" s="126"/>
      <c r="F1876" s="127"/>
      <c r="G1876" s="5"/>
    </row>
    <row r="1877" spans="2:7">
      <c r="B1877" s="5"/>
      <c r="C1877" s="5"/>
      <c r="D1877" s="125"/>
      <c r="E1877" s="126"/>
      <c r="F1877" s="127"/>
      <c r="G1877" s="5"/>
    </row>
    <row r="1878" spans="2:7">
      <c r="B1878" s="5"/>
      <c r="C1878" s="5"/>
      <c r="D1878" s="125"/>
      <c r="E1878" s="126"/>
      <c r="F1878" s="127"/>
      <c r="G1878" s="5"/>
    </row>
    <row r="1879" spans="2:7">
      <c r="B1879" s="5"/>
      <c r="C1879" s="5"/>
      <c r="D1879" s="125"/>
      <c r="E1879" s="126"/>
      <c r="F1879" s="127"/>
      <c r="G1879" s="5"/>
    </row>
    <row r="1880" spans="2:7">
      <c r="B1880" s="5"/>
      <c r="C1880" s="5"/>
      <c r="D1880" s="125"/>
      <c r="E1880" s="126"/>
      <c r="F1880" s="127"/>
      <c r="G1880" s="5"/>
    </row>
    <row r="1881" spans="2:7">
      <c r="B1881" s="5"/>
      <c r="C1881" s="5"/>
      <c r="D1881" s="125"/>
      <c r="E1881" s="126"/>
      <c r="F1881" s="127"/>
      <c r="G1881" s="5"/>
    </row>
    <row r="1882" spans="2:7">
      <c r="B1882" s="5"/>
      <c r="C1882" s="5"/>
      <c r="D1882" s="125"/>
      <c r="E1882" s="126"/>
      <c r="F1882" s="127"/>
      <c r="G1882" s="5"/>
    </row>
    <row r="1883" spans="2:7">
      <c r="B1883" s="5"/>
      <c r="C1883" s="5"/>
      <c r="D1883" s="125"/>
      <c r="E1883" s="126"/>
      <c r="F1883" s="127"/>
      <c r="G1883" s="5"/>
    </row>
    <row r="1884" spans="2:7">
      <c r="B1884" s="5"/>
      <c r="C1884" s="5"/>
      <c r="D1884" s="125"/>
      <c r="E1884" s="126"/>
      <c r="F1884" s="127"/>
      <c r="G1884" s="5"/>
    </row>
    <row r="1885" spans="2:7">
      <c r="B1885" s="5"/>
      <c r="C1885" s="5"/>
      <c r="D1885" s="125"/>
      <c r="E1885" s="126"/>
      <c r="F1885" s="127"/>
      <c r="G1885" s="5"/>
    </row>
    <row r="1886" spans="2:7">
      <c r="B1886" s="5"/>
      <c r="C1886" s="5"/>
      <c r="D1886" s="125"/>
      <c r="E1886" s="126"/>
      <c r="F1886" s="127"/>
      <c r="G1886" s="5"/>
    </row>
    <row r="1887" spans="2:7">
      <c r="B1887" s="5"/>
      <c r="C1887" s="5"/>
      <c r="D1887" s="125"/>
      <c r="E1887" s="126"/>
      <c r="F1887" s="127"/>
      <c r="G1887" s="5"/>
    </row>
    <row r="1888" spans="2:7">
      <c r="B1888" s="5"/>
      <c r="C1888" s="5"/>
      <c r="D1888" s="125"/>
      <c r="E1888" s="126"/>
      <c r="F1888" s="127"/>
      <c r="G1888" s="5"/>
    </row>
    <row r="1889" spans="2:7">
      <c r="B1889" s="5"/>
      <c r="C1889" s="5"/>
      <c r="D1889" s="125"/>
      <c r="E1889" s="126"/>
      <c r="F1889" s="127"/>
      <c r="G1889" s="5"/>
    </row>
    <row r="1890" spans="2:7">
      <c r="B1890" s="5"/>
      <c r="C1890" s="5"/>
      <c r="D1890" s="125"/>
      <c r="E1890" s="127"/>
      <c r="F1890" s="126"/>
      <c r="G1890" s="5"/>
    </row>
    <row r="1891" spans="2:7">
      <c r="B1891" s="5"/>
      <c r="C1891" s="5"/>
      <c r="D1891" s="125"/>
      <c r="E1891" s="126"/>
      <c r="F1891" s="127"/>
      <c r="G1891" s="5"/>
    </row>
    <row r="1892" spans="2:7">
      <c r="B1892" s="5"/>
      <c r="C1892" s="5"/>
      <c r="D1892" s="125"/>
      <c r="E1892" s="126"/>
      <c r="F1892" s="127"/>
      <c r="G1892" s="5"/>
    </row>
    <row r="1893" spans="2:7">
      <c r="B1893" s="5"/>
      <c r="C1893" s="5"/>
      <c r="D1893" s="125"/>
      <c r="E1893" s="126"/>
      <c r="F1893" s="127"/>
      <c r="G1893" s="5"/>
    </row>
    <row r="1894" spans="2:7">
      <c r="B1894" s="5"/>
      <c r="C1894" s="5"/>
      <c r="D1894" s="125"/>
      <c r="E1894" s="126"/>
      <c r="F1894" s="127"/>
      <c r="G1894" s="5"/>
    </row>
    <row r="1895" spans="2:7">
      <c r="B1895" s="5"/>
      <c r="C1895" s="5"/>
      <c r="D1895" s="125"/>
      <c r="E1895" s="126"/>
      <c r="F1895" s="127"/>
      <c r="G1895" s="5"/>
    </row>
    <row r="1896" spans="2:7">
      <c r="B1896" s="5"/>
      <c r="C1896" s="5"/>
      <c r="D1896" s="125"/>
      <c r="E1896" s="126"/>
      <c r="F1896" s="127"/>
      <c r="G1896" s="5"/>
    </row>
    <row r="1897" spans="2:7">
      <c r="B1897" s="5"/>
      <c r="C1897" s="5"/>
      <c r="D1897" s="125"/>
      <c r="E1897" s="126"/>
      <c r="F1897" s="127"/>
      <c r="G1897" s="5"/>
    </row>
    <row r="1898" spans="2:7">
      <c r="B1898" s="5"/>
      <c r="C1898" s="5"/>
      <c r="D1898" s="125"/>
      <c r="E1898" s="126"/>
      <c r="F1898" s="127"/>
      <c r="G1898" s="5"/>
    </row>
    <row r="1899" spans="2:7">
      <c r="B1899" s="5"/>
      <c r="C1899" s="5"/>
      <c r="D1899" s="125"/>
      <c r="E1899" s="126"/>
      <c r="F1899" s="127"/>
      <c r="G1899" s="5"/>
    </row>
    <row r="1900" spans="2:7">
      <c r="B1900" s="5"/>
      <c r="C1900" s="5"/>
      <c r="D1900" s="125"/>
      <c r="E1900" s="126"/>
      <c r="F1900" s="127"/>
      <c r="G1900" s="5"/>
    </row>
    <row r="1901" spans="2:7">
      <c r="B1901" s="5"/>
      <c r="C1901" s="5"/>
      <c r="D1901" s="125"/>
      <c r="E1901" s="126"/>
      <c r="F1901" s="127"/>
      <c r="G1901" s="5"/>
    </row>
    <row r="1902" spans="2:7">
      <c r="B1902" s="5"/>
      <c r="C1902" s="5"/>
      <c r="D1902" s="125"/>
      <c r="E1902" s="126"/>
      <c r="F1902" s="127"/>
      <c r="G1902" s="77"/>
    </row>
    <row r="1903" spans="2:7">
      <c r="B1903" s="5"/>
      <c r="C1903" s="5"/>
      <c r="D1903" s="125"/>
      <c r="E1903" s="126"/>
      <c r="F1903" s="127"/>
      <c r="G1903" s="127"/>
    </row>
    <row r="1904" spans="2:7">
      <c r="B1904" s="5"/>
      <c r="C1904" s="5"/>
      <c r="D1904" s="125"/>
      <c r="E1904" s="126"/>
      <c r="F1904" s="127"/>
      <c r="G1904" s="127"/>
    </row>
    <row r="1905" spans="2:7">
      <c r="B1905" s="5"/>
      <c r="C1905" s="5"/>
      <c r="D1905" s="125"/>
      <c r="E1905" s="126"/>
      <c r="F1905" s="127"/>
      <c r="G1905" s="127"/>
    </row>
    <row r="1906" spans="2:7">
      <c r="B1906" s="5"/>
      <c r="C1906" s="5"/>
      <c r="D1906" s="125"/>
      <c r="E1906" s="126"/>
      <c r="F1906" s="127"/>
      <c r="G1906" s="127"/>
    </row>
    <row r="1907" spans="2:7">
      <c r="B1907" s="5"/>
      <c r="C1907" s="5"/>
      <c r="D1907" s="125"/>
      <c r="E1907" s="126"/>
      <c r="F1907" s="127"/>
      <c r="G1907" s="127"/>
    </row>
    <row r="1908" spans="2:7">
      <c r="B1908" s="5"/>
      <c r="C1908" s="5"/>
      <c r="D1908" s="125"/>
      <c r="E1908" s="126"/>
      <c r="F1908" s="127"/>
      <c r="G1908" s="127"/>
    </row>
    <row r="1909" spans="2:7">
      <c r="B1909" s="5"/>
      <c r="C1909" s="5"/>
      <c r="D1909" s="125"/>
      <c r="E1909" s="126"/>
      <c r="F1909" s="127"/>
      <c r="G1909" s="127"/>
    </row>
    <row r="1910" spans="2:7">
      <c r="B1910" s="5"/>
      <c r="C1910" s="5"/>
      <c r="D1910" s="125"/>
      <c r="E1910" s="126"/>
      <c r="F1910" s="127"/>
      <c r="G1910" s="127"/>
    </row>
    <row r="1911" spans="2:7">
      <c r="B1911" s="5"/>
      <c r="C1911" s="5"/>
      <c r="D1911" s="125"/>
      <c r="E1911" s="126"/>
      <c r="F1911" s="127"/>
      <c r="G1911" s="127"/>
    </row>
    <row r="1912" spans="2:7">
      <c r="B1912" s="5"/>
      <c r="C1912" s="5"/>
      <c r="D1912" s="125"/>
      <c r="E1912" s="126"/>
      <c r="F1912" s="127"/>
      <c r="G1912" s="127"/>
    </row>
    <row r="1913" spans="2:7">
      <c r="B1913" s="5"/>
      <c r="C1913" s="5"/>
      <c r="D1913" s="125"/>
      <c r="E1913" s="127"/>
      <c r="F1913" s="126"/>
      <c r="G1913" s="5"/>
    </row>
    <row r="1914" spans="2:7">
      <c r="B1914" s="5"/>
      <c r="C1914" s="5"/>
      <c r="D1914" s="125"/>
      <c r="E1914" s="127"/>
      <c r="F1914" s="126"/>
      <c r="G1914" s="5"/>
    </row>
    <row r="1915" spans="2:7">
      <c r="B1915" s="5"/>
      <c r="C1915" s="5"/>
      <c r="D1915" s="125"/>
      <c r="E1915" s="127"/>
      <c r="F1915" s="126"/>
      <c r="G1915" s="5"/>
    </row>
    <row r="1916" spans="2:7">
      <c r="B1916" s="5"/>
      <c r="C1916" s="5"/>
      <c r="D1916" s="125"/>
      <c r="E1916" s="127"/>
      <c r="F1916" s="126"/>
      <c r="G1916" s="5"/>
    </row>
    <row r="1917" spans="2:7">
      <c r="B1917" s="5"/>
      <c r="C1917" s="5"/>
      <c r="D1917" s="125"/>
      <c r="E1917" s="127"/>
      <c r="F1917" s="126"/>
      <c r="G1917" s="5"/>
    </row>
    <row r="1918" spans="2:7">
      <c r="B1918" s="5"/>
      <c r="C1918" s="5"/>
      <c r="D1918" s="125"/>
      <c r="E1918" s="127"/>
      <c r="F1918" s="126"/>
      <c r="G1918" s="5"/>
    </row>
    <row r="1919" spans="2:7">
      <c r="B1919" s="5"/>
      <c r="C1919" s="5"/>
      <c r="D1919" s="125"/>
      <c r="E1919" s="127"/>
      <c r="F1919" s="126"/>
      <c r="G1919" s="5"/>
    </row>
    <row r="1920" spans="2:7">
      <c r="B1920" s="5"/>
      <c r="C1920" s="5"/>
      <c r="D1920" s="125"/>
      <c r="E1920" s="127"/>
      <c r="F1920" s="126"/>
      <c r="G1920" s="5"/>
    </row>
    <row r="1921" spans="2:7">
      <c r="B1921" s="5"/>
      <c r="C1921" s="5"/>
      <c r="D1921" s="125"/>
      <c r="E1921" s="127"/>
      <c r="F1921" s="126"/>
      <c r="G1921" s="5"/>
    </row>
    <row r="1922" spans="2:7">
      <c r="B1922" s="5"/>
      <c r="C1922" s="5"/>
      <c r="D1922" s="125"/>
      <c r="E1922" s="127"/>
      <c r="F1922" s="126"/>
      <c r="G1922" s="5"/>
    </row>
    <row r="1923" spans="2:7">
      <c r="B1923" s="5"/>
      <c r="C1923" s="5"/>
      <c r="D1923" s="125"/>
      <c r="E1923" s="127"/>
      <c r="F1923" s="126"/>
      <c r="G1923" s="5"/>
    </row>
    <row r="1924" spans="2:7">
      <c r="B1924" s="5"/>
      <c r="C1924" s="5"/>
      <c r="D1924" s="125"/>
      <c r="E1924" s="127"/>
      <c r="F1924" s="126"/>
      <c r="G1924" s="5"/>
    </row>
    <row r="1925" spans="2:7">
      <c r="B1925" s="5"/>
      <c r="C1925" s="5"/>
      <c r="D1925" s="125"/>
      <c r="E1925" s="127"/>
      <c r="F1925" s="126"/>
      <c r="G1925" s="5"/>
    </row>
    <row r="1926" spans="2:7">
      <c r="B1926" s="5"/>
      <c r="C1926" s="5"/>
      <c r="D1926" s="125"/>
      <c r="E1926" s="127"/>
      <c r="F1926" s="126"/>
      <c r="G1926" s="5"/>
    </row>
    <row r="1927" spans="2:7">
      <c r="B1927" s="5"/>
      <c r="C1927" s="5"/>
      <c r="D1927" s="125"/>
      <c r="E1927" s="127"/>
      <c r="F1927" s="126"/>
      <c r="G1927" s="5"/>
    </row>
    <row r="1928" spans="2:7">
      <c r="B1928" s="5"/>
      <c r="C1928" s="5"/>
      <c r="D1928" s="125"/>
      <c r="E1928" s="127"/>
      <c r="F1928" s="126"/>
      <c r="G1928" s="5"/>
    </row>
    <row r="1929" spans="2:7">
      <c r="B1929" s="5"/>
      <c r="C1929" s="5"/>
      <c r="D1929" s="125"/>
      <c r="E1929" s="127"/>
      <c r="F1929" s="126"/>
      <c r="G1929" s="5"/>
    </row>
    <row r="1930" spans="2:7">
      <c r="B1930" s="5"/>
      <c r="C1930" s="5"/>
      <c r="D1930" s="125"/>
      <c r="E1930" s="127"/>
      <c r="F1930" s="126"/>
      <c r="G1930" s="5"/>
    </row>
    <row r="1931" spans="2:7">
      <c r="B1931" s="5"/>
      <c r="C1931" s="5"/>
      <c r="D1931" s="125"/>
      <c r="E1931" s="127"/>
      <c r="F1931" s="126"/>
      <c r="G1931" s="5"/>
    </row>
    <row r="1932" spans="2:7">
      <c r="B1932" s="5"/>
      <c r="C1932" s="5"/>
      <c r="D1932" s="125"/>
      <c r="E1932" s="127"/>
      <c r="F1932" s="126"/>
      <c r="G1932" s="5"/>
    </row>
    <row r="1933" spans="2:7">
      <c r="B1933" s="5"/>
      <c r="C1933" s="5"/>
      <c r="D1933" s="125"/>
      <c r="E1933" s="127"/>
      <c r="F1933" s="126"/>
      <c r="G1933" s="5"/>
    </row>
    <row r="1934" spans="2:7">
      <c r="B1934" s="5"/>
      <c r="C1934" s="5"/>
      <c r="D1934" s="125"/>
      <c r="E1934" s="127"/>
      <c r="F1934" s="126"/>
      <c r="G1934" s="5"/>
    </row>
    <row r="1935" spans="2:7">
      <c r="B1935" s="5"/>
      <c r="C1935" s="5"/>
      <c r="D1935" s="125"/>
      <c r="E1935" s="127"/>
      <c r="F1935" s="126"/>
      <c r="G1935" s="5"/>
    </row>
    <row r="1936" spans="2:7">
      <c r="B1936" s="5"/>
      <c r="C1936" s="5"/>
      <c r="D1936" s="125"/>
      <c r="E1936" s="127"/>
      <c r="F1936" s="126"/>
      <c r="G1936" s="5"/>
    </row>
    <row r="1937" spans="2:7">
      <c r="B1937" s="5"/>
      <c r="C1937" s="5"/>
      <c r="D1937" s="125"/>
      <c r="E1937" s="127"/>
      <c r="F1937" s="126"/>
      <c r="G1937" s="5"/>
    </row>
    <row r="1938" spans="2:7">
      <c r="B1938" s="5"/>
      <c r="C1938" s="5"/>
      <c r="D1938" s="125"/>
      <c r="E1938" s="127"/>
      <c r="F1938" s="126"/>
      <c r="G1938" s="5"/>
    </row>
    <row r="1939" spans="2:7">
      <c r="B1939" s="5"/>
      <c r="C1939" s="5"/>
      <c r="D1939" s="125"/>
      <c r="E1939" s="127"/>
      <c r="F1939" s="126"/>
      <c r="G1939" s="5"/>
    </row>
    <row r="1940" spans="2:7">
      <c r="B1940" s="5"/>
      <c r="C1940" s="5"/>
      <c r="D1940" s="125"/>
      <c r="E1940" s="127"/>
      <c r="F1940" s="126"/>
      <c r="G1940" s="5"/>
    </row>
    <row r="1941" spans="2:7">
      <c r="B1941" s="5"/>
      <c r="C1941" s="5"/>
      <c r="D1941" s="125"/>
      <c r="E1941" s="127"/>
      <c r="F1941" s="126"/>
      <c r="G1941" s="5"/>
    </row>
    <row r="1942" spans="2:7">
      <c r="B1942" s="5"/>
      <c r="C1942" s="5"/>
      <c r="D1942" s="125"/>
      <c r="E1942" s="127"/>
      <c r="F1942" s="126"/>
      <c r="G1942" s="5"/>
    </row>
    <row r="1943" spans="2:7">
      <c r="B1943" s="5"/>
      <c r="C1943" s="5"/>
      <c r="D1943" s="125"/>
      <c r="E1943" s="127"/>
      <c r="F1943" s="126"/>
      <c r="G1943" s="5"/>
    </row>
    <row r="1944" spans="2:7">
      <c r="B1944" s="5"/>
      <c r="C1944" s="5"/>
      <c r="D1944" s="125"/>
      <c r="E1944" s="127"/>
      <c r="F1944" s="126"/>
      <c r="G1944" s="5"/>
    </row>
    <row r="1945" spans="2:7">
      <c r="B1945" s="5"/>
      <c r="C1945" s="5"/>
      <c r="D1945" s="125"/>
      <c r="E1945" s="127"/>
      <c r="F1945" s="126"/>
      <c r="G1945" s="5"/>
    </row>
    <row r="1946" spans="2:7">
      <c r="B1946" s="5"/>
      <c r="C1946" s="5"/>
      <c r="D1946" s="125"/>
      <c r="E1946" s="127"/>
      <c r="F1946" s="126"/>
      <c r="G1946" s="5"/>
    </row>
    <row r="1947" spans="2:7">
      <c r="B1947" s="5"/>
      <c r="C1947" s="5"/>
      <c r="D1947" s="125"/>
      <c r="E1947" s="127"/>
      <c r="F1947" s="126"/>
      <c r="G1947" s="5"/>
    </row>
    <row r="1948" spans="2:7">
      <c r="B1948" s="5"/>
      <c r="C1948" s="5"/>
      <c r="D1948" s="125"/>
      <c r="E1948" s="127"/>
      <c r="F1948" s="126"/>
      <c r="G1948" s="5"/>
    </row>
    <row r="1949" spans="2:7">
      <c r="B1949" s="5"/>
      <c r="C1949" s="5"/>
      <c r="D1949" s="125"/>
      <c r="E1949" s="127"/>
      <c r="F1949" s="126"/>
      <c r="G1949" s="5"/>
    </row>
    <row r="1950" spans="2:7">
      <c r="B1950" s="5"/>
      <c r="C1950" s="5"/>
      <c r="D1950" s="125"/>
      <c r="E1950" s="127"/>
      <c r="F1950" s="126"/>
      <c r="G1950" s="5"/>
    </row>
    <row r="1951" spans="2:7">
      <c r="B1951" s="5"/>
      <c r="C1951" s="5"/>
      <c r="D1951" s="125"/>
      <c r="E1951" s="127"/>
      <c r="F1951" s="126"/>
      <c r="G1951" s="5"/>
    </row>
    <row r="1952" spans="2:7">
      <c r="B1952" s="5"/>
      <c r="C1952" s="5"/>
      <c r="D1952" s="125"/>
      <c r="E1952" s="127"/>
      <c r="F1952" s="126"/>
      <c r="G1952" s="5"/>
    </row>
    <row r="1953" spans="2:7">
      <c r="B1953" s="5"/>
      <c r="C1953" s="5"/>
      <c r="D1953" s="125"/>
      <c r="E1953" s="127"/>
      <c r="F1953" s="126"/>
      <c r="G1953" s="5"/>
    </row>
    <row r="1954" spans="2:7">
      <c r="B1954" s="5"/>
      <c r="C1954" s="5"/>
      <c r="D1954" s="125"/>
      <c r="E1954" s="127"/>
      <c r="F1954" s="126"/>
      <c r="G1954" s="5"/>
    </row>
    <row r="1955" spans="2:7">
      <c r="B1955" s="5"/>
      <c r="C1955" s="5"/>
      <c r="D1955" s="125"/>
      <c r="E1955" s="127"/>
      <c r="F1955" s="126"/>
      <c r="G1955" s="5"/>
    </row>
    <row r="1956" spans="2:7">
      <c r="B1956" s="5"/>
      <c r="C1956" s="5"/>
      <c r="D1956" s="125"/>
      <c r="E1956" s="127"/>
      <c r="F1956" s="126"/>
      <c r="G1956" s="5"/>
    </row>
    <row r="1957" spans="2:7">
      <c r="B1957" s="5"/>
      <c r="C1957" s="5"/>
      <c r="D1957" s="125"/>
      <c r="E1957" s="127"/>
      <c r="F1957" s="126"/>
      <c r="G1957" s="5"/>
    </row>
    <row r="1958" spans="2:7">
      <c r="B1958" s="5"/>
      <c r="C1958" s="5"/>
      <c r="D1958" s="125"/>
      <c r="E1958" s="127"/>
      <c r="F1958" s="126"/>
      <c r="G1958" s="5"/>
    </row>
    <row r="1959" spans="2:7">
      <c r="B1959" s="5"/>
      <c r="C1959" s="5"/>
      <c r="D1959" s="125"/>
      <c r="E1959" s="127"/>
      <c r="F1959" s="126"/>
      <c r="G1959" s="5"/>
    </row>
    <row r="1960" spans="2:7">
      <c r="B1960" s="5"/>
      <c r="C1960" s="5"/>
      <c r="D1960" s="125"/>
      <c r="E1960" s="127"/>
      <c r="F1960" s="126"/>
      <c r="G1960" s="5"/>
    </row>
    <row r="1961" spans="2:7">
      <c r="B1961" s="5"/>
      <c r="C1961" s="5"/>
      <c r="D1961" s="125"/>
      <c r="E1961" s="127"/>
      <c r="F1961" s="126"/>
      <c r="G1961" s="5"/>
    </row>
    <row r="1962" spans="2:7">
      <c r="B1962" s="5"/>
      <c r="C1962" s="5"/>
      <c r="D1962" s="125"/>
      <c r="E1962" s="127"/>
      <c r="F1962" s="126"/>
      <c r="G1962" s="5"/>
    </row>
    <row r="1963" spans="2:7">
      <c r="B1963" s="5"/>
      <c r="C1963" s="5"/>
      <c r="D1963" s="125"/>
      <c r="E1963" s="127"/>
      <c r="F1963" s="126"/>
      <c r="G1963" s="5"/>
    </row>
    <row r="1964" spans="2:7">
      <c r="B1964" s="5"/>
      <c r="C1964" s="5"/>
      <c r="D1964" s="125"/>
      <c r="E1964" s="127"/>
      <c r="F1964" s="126"/>
      <c r="G1964" s="5"/>
    </row>
    <row r="1965" spans="2:7">
      <c r="B1965" s="5"/>
      <c r="C1965" s="5"/>
      <c r="D1965" s="125"/>
      <c r="E1965" s="127"/>
      <c r="F1965" s="126"/>
      <c r="G1965" s="5"/>
    </row>
    <row r="1966" spans="2:7">
      <c r="B1966" s="5"/>
      <c r="C1966" s="5"/>
      <c r="D1966" s="125"/>
      <c r="E1966" s="127"/>
      <c r="F1966" s="126"/>
      <c r="G1966" s="5"/>
    </row>
    <row r="1967" spans="2:7">
      <c r="B1967" s="5"/>
      <c r="C1967" s="5"/>
      <c r="D1967" s="125"/>
      <c r="E1967" s="127"/>
      <c r="F1967" s="126"/>
      <c r="G1967" s="5"/>
    </row>
    <row r="1968" spans="2:7">
      <c r="B1968" s="5"/>
      <c r="C1968" s="5"/>
      <c r="D1968" s="125"/>
      <c r="E1968" s="127"/>
      <c r="F1968" s="126"/>
      <c r="G1968" s="5"/>
    </row>
    <row r="1969" spans="2:7">
      <c r="B1969" s="5"/>
      <c r="C1969" s="5"/>
      <c r="D1969" s="125"/>
      <c r="E1969" s="127"/>
      <c r="F1969" s="126"/>
      <c r="G1969" s="5"/>
    </row>
    <row r="1970" spans="2:7">
      <c r="B1970" s="5"/>
      <c r="C1970" s="5"/>
      <c r="D1970" s="125"/>
      <c r="E1970" s="127"/>
      <c r="F1970" s="126"/>
      <c r="G1970" s="5"/>
    </row>
    <row r="1971" spans="2:7">
      <c r="B1971" s="5"/>
      <c r="C1971" s="5"/>
      <c r="D1971" s="125"/>
      <c r="E1971" s="127"/>
      <c r="F1971" s="126"/>
      <c r="G1971" s="5"/>
    </row>
    <row r="1972" spans="2:7">
      <c r="B1972" s="5"/>
      <c r="C1972" s="5"/>
      <c r="D1972" s="125"/>
      <c r="E1972" s="127"/>
      <c r="F1972" s="126"/>
      <c r="G1972" s="5"/>
    </row>
    <row r="1973" spans="2:7">
      <c r="B1973" s="5"/>
      <c r="C1973" s="5"/>
      <c r="D1973" s="125"/>
      <c r="E1973" s="127"/>
      <c r="F1973" s="126"/>
      <c r="G1973" s="5"/>
    </row>
    <row r="1974" spans="2:7">
      <c r="B1974" s="5"/>
      <c r="C1974" s="5"/>
      <c r="D1974" s="125"/>
      <c r="E1974" s="127"/>
      <c r="F1974" s="126"/>
      <c r="G1974" s="5"/>
    </row>
    <row r="1975" spans="2:7">
      <c r="B1975" s="5"/>
      <c r="C1975" s="5"/>
      <c r="D1975" s="125"/>
      <c r="E1975" s="127"/>
      <c r="F1975" s="126"/>
      <c r="G1975" s="5"/>
    </row>
    <row r="1976" spans="2:7">
      <c r="B1976" s="5"/>
      <c r="C1976" s="5"/>
      <c r="D1976" s="125"/>
      <c r="E1976" s="127"/>
      <c r="F1976" s="126"/>
      <c r="G1976" s="5"/>
    </row>
    <row r="1977" spans="2:7">
      <c r="B1977" s="5"/>
      <c r="C1977" s="5"/>
      <c r="D1977" s="125"/>
      <c r="E1977" s="127"/>
      <c r="F1977" s="126"/>
      <c r="G1977" s="5"/>
    </row>
    <row r="1978" spans="2:7">
      <c r="B1978" s="5"/>
      <c r="C1978" s="5"/>
      <c r="D1978" s="125"/>
      <c r="E1978" s="127"/>
      <c r="F1978" s="126"/>
      <c r="G1978" s="5"/>
    </row>
    <row r="1979" spans="2:7">
      <c r="B1979" s="5"/>
      <c r="C1979" s="5"/>
      <c r="D1979" s="125"/>
      <c r="E1979" s="127"/>
      <c r="F1979" s="126"/>
      <c r="G1979" s="5"/>
    </row>
    <row r="1980" spans="2:7">
      <c r="B1980" s="5"/>
      <c r="C1980" s="5"/>
      <c r="D1980" s="125"/>
      <c r="E1980" s="127"/>
      <c r="F1980" s="126"/>
      <c r="G1980" s="5"/>
    </row>
    <row r="1981" spans="2:7">
      <c r="B1981" s="5"/>
      <c r="C1981" s="5"/>
      <c r="D1981" s="125"/>
      <c r="E1981" s="127"/>
      <c r="F1981" s="126"/>
      <c r="G1981" s="5"/>
    </row>
    <row r="1982" spans="2:7">
      <c r="B1982" s="5"/>
      <c r="C1982" s="5"/>
      <c r="D1982" s="125"/>
      <c r="E1982" s="127"/>
      <c r="F1982" s="126"/>
      <c r="G1982" s="5"/>
    </row>
    <row r="1983" spans="2:7">
      <c r="B1983" s="5"/>
      <c r="C1983" s="5"/>
      <c r="D1983" s="125"/>
      <c r="E1983" s="127"/>
      <c r="F1983" s="126"/>
      <c r="G1983" s="5"/>
    </row>
    <row r="1984" spans="2:7">
      <c r="B1984" s="5"/>
      <c r="C1984" s="5"/>
      <c r="D1984" s="125"/>
      <c r="E1984" s="127"/>
      <c r="F1984" s="126"/>
      <c r="G1984" s="5"/>
    </row>
    <row r="1985" spans="2:7">
      <c r="B1985" s="5"/>
      <c r="C1985" s="5"/>
      <c r="D1985" s="125"/>
      <c r="E1985" s="127"/>
      <c r="F1985" s="126"/>
      <c r="G1985" s="5"/>
    </row>
    <row r="1986" spans="2:7">
      <c r="B1986" s="5"/>
      <c r="C1986" s="5"/>
      <c r="D1986" s="125"/>
      <c r="E1986" s="127"/>
      <c r="F1986" s="126"/>
      <c r="G1986" s="5"/>
    </row>
    <row r="1987" spans="2:7">
      <c r="B1987" s="5"/>
      <c r="C1987" s="5"/>
      <c r="D1987" s="125"/>
      <c r="E1987" s="127"/>
      <c r="F1987" s="126"/>
      <c r="G1987" s="5"/>
    </row>
    <row r="1988" spans="2:7">
      <c r="B1988" s="5"/>
      <c r="C1988" s="5"/>
      <c r="D1988" s="125"/>
      <c r="E1988" s="127"/>
      <c r="F1988" s="126"/>
      <c r="G1988" s="5"/>
    </row>
    <row r="1989" spans="2:7">
      <c r="B1989" s="5"/>
      <c r="C1989" s="5"/>
      <c r="D1989" s="125"/>
      <c r="E1989" s="127"/>
      <c r="F1989" s="126"/>
      <c r="G1989" s="5"/>
    </row>
    <row r="1990" spans="2:7">
      <c r="B1990" s="5"/>
      <c r="C1990" s="5"/>
      <c r="D1990" s="125"/>
      <c r="E1990" s="127"/>
      <c r="F1990" s="126"/>
      <c r="G1990" s="5"/>
    </row>
    <row r="1991" spans="2:7">
      <c r="B1991" s="5"/>
      <c r="C1991" s="5"/>
      <c r="D1991" s="125"/>
      <c r="E1991" s="127"/>
      <c r="F1991" s="126"/>
      <c r="G1991" s="5"/>
    </row>
    <row r="1992" spans="2:7">
      <c r="B1992" s="5"/>
      <c r="C1992" s="5"/>
      <c r="D1992" s="125"/>
      <c r="E1992" s="127"/>
      <c r="F1992" s="126"/>
      <c r="G1992" s="5"/>
    </row>
    <row r="1993" spans="2:7">
      <c r="B1993" s="5"/>
      <c r="C1993" s="5"/>
      <c r="D1993" s="125"/>
      <c r="E1993" s="127"/>
      <c r="F1993" s="126"/>
      <c r="G1993" s="5"/>
    </row>
    <row r="1994" spans="2:7">
      <c r="B1994" s="5"/>
      <c r="C1994" s="5"/>
      <c r="D1994" s="125"/>
      <c r="E1994" s="127"/>
      <c r="F1994" s="126"/>
      <c r="G1994" s="5"/>
    </row>
    <row r="1995" spans="2:7">
      <c r="B1995" s="5"/>
      <c r="C1995" s="5"/>
      <c r="D1995" s="125"/>
      <c r="E1995" s="127"/>
      <c r="F1995" s="126"/>
      <c r="G1995" s="5"/>
    </row>
    <row r="1996" spans="2:7">
      <c r="B1996" s="5"/>
      <c r="C1996" s="5"/>
      <c r="D1996" s="125"/>
      <c r="E1996" s="127"/>
      <c r="F1996" s="126"/>
      <c r="G1996" s="5"/>
    </row>
    <row r="1997" spans="2:7">
      <c r="B1997" s="5"/>
      <c r="C1997" s="5"/>
      <c r="D1997" s="125"/>
      <c r="E1997" s="127"/>
      <c r="F1997" s="126"/>
      <c r="G1997" s="5"/>
    </row>
    <row r="1998" spans="2:7">
      <c r="B1998" s="5"/>
      <c r="C1998" s="5"/>
      <c r="D1998" s="125"/>
      <c r="E1998" s="127"/>
      <c r="F1998" s="126"/>
      <c r="G1998" s="5"/>
    </row>
    <row r="1999" spans="2:7">
      <c r="B1999" s="5"/>
      <c r="C1999" s="5"/>
      <c r="D1999" s="125"/>
      <c r="E1999" s="127"/>
      <c r="F1999" s="126"/>
      <c r="G1999" s="5"/>
    </row>
    <row r="2000" spans="2:7">
      <c r="B2000" s="5"/>
      <c r="C2000" s="5"/>
      <c r="D2000" s="125"/>
      <c r="E2000" s="127"/>
      <c r="F2000" s="126"/>
      <c r="G2000" s="5"/>
    </row>
    <row r="2001" spans="2:7">
      <c r="B2001" s="5"/>
      <c r="C2001" s="5"/>
      <c r="D2001" s="125"/>
      <c r="E2001" s="127"/>
      <c r="F2001" s="126"/>
      <c r="G2001" s="5"/>
    </row>
    <row r="2002" spans="2:7">
      <c r="B2002" s="5"/>
      <c r="C2002" s="5"/>
      <c r="D2002" s="125"/>
      <c r="E2002" s="127"/>
      <c r="F2002" s="126"/>
      <c r="G2002" s="5"/>
    </row>
    <row r="2003" spans="2:7">
      <c r="B2003" s="5"/>
      <c r="C2003" s="5"/>
      <c r="D2003" s="125"/>
      <c r="E2003" s="127"/>
      <c r="F2003" s="126"/>
      <c r="G2003" s="5"/>
    </row>
    <row r="2004" spans="2:7">
      <c r="B2004" s="5"/>
      <c r="C2004" s="5"/>
      <c r="D2004" s="125"/>
      <c r="E2004" s="127"/>
      <c r="F2004" s="126"/>
      <c r="G2004" s="5"/>
    </row>
    <row r="2005" spans="2:7">
      <c r="B2005" s="5"/>
      <c r="C2005" s="5"/>
      <c r="D2005" s="125"/>
      <c r="E2005" s="127"/>
      <c r="F2005" s="126"/>
      <c r="G2005" s="5"/>
    </row>
    <row r="2006" spans="2:7">
      <c r="B2006" s="5"/>
      <c r="C2006" s="5"/>
      <c r="D2006" s="125"/>
      <c r="E2006" s="127"/>
      <c r="F2006" s="126"/>
      <c r="G2006" s="5"/>
    </row>
    <row r="2007" spans="2:7">
      <c r="B2007" s="5"/>
      <c r="C2007" s="5"/>
      <c r="D2007" s="125"/>
      <c r="E2007" s="127"/>
      <c r="F2007" s="126"/>
      <c r="G2007" s="5"/>
    </row>
    <row r="2008" spans="2:7">
      <c r="B2008" s="5"/>
      <c r="C2008" s="5"/>
      <c r="D2008" s="125"/>
      <c r="E2008" s="127"/>
      <c r="F2008" s="126"/>
      <c r="G2008" s="5"/>
    </row>
    <row r="2009" spans="2:7">
      <c r="B2009" s="5"/>
      <c r="C2009" s="5"/>
      <c r="D2009" s="125"/>
      <c r="E2009" s="127"/>
      <c r="F2009" s="126"/>
      <c r="G2009" s="5"/>
    </row>
    <row r="2010" spans="2:7">
      <c r="B2010" s="5"/>
      <c r="C2010" s="5"/>
      <c r="D2010" s="125"/>
      <c r="E2010" s="127"/>
      <c r="F2010" s="126"/>
      <c r="G2010" s="5"/>
    </row>
    <row r="2011" spans="2:7">
      <c r="B2011" s="5"/>
      <c r="C2011" s="5"/>
      <c r="D2011" s="125"/>
      <c r="E2011" s="127"/>
      <c r="F2011" s="126"/>
      <c r="G2011" s="5"/>
    </row>
    <row r="2012" spans="2:7">
      <c r="B2012" s="5"/>
      <c r="C2012" s="5"/>
      <c r="D2012" s="125"/>
      <c r="E2012" s="127"/>
      <c r="F2012" s="126"/>
      <c r="G2012" s="5"/>
    </row>
    <row r="2013" spans="2:7">
      <c r="B2013" s="5"/>
      <c r="C2013" s="5"/>
      <c r="D2013" s="125"/>
      <c r="E2013" s="127"/>
      <c r="F2013" s="126"/>
      <c r="G2013" s="5"/>
    </row>
    <row r="2014" spans="2:7">
      <c r="B2014" s="5"/>
      <c r="C2014" s="5"/>
      <c r="D2014" s="125"/>
      <c r="E2014" s="127"/>
      <c r="F2014" s="126"/>
      <c r="G2014" s="5"/>
    </row>
    <row r="2015" spans="2:7">
      <c r="B2015" s="5"/>
      <c r="C2015" s="5"/>
      <c r="D2015" s="125"/>
      <c r="E2015" s="127"/>
      <c r="F2015" s="126"/>
      <c r="G2015" s="5"/>
    </row>
    <row r="2016" spans="2:7">
      <c r="B2016" s="5"/>
      <c r="C2016" s="5"/>
      <c r="D2016" s="125"/>
      <c r="E2016" s="127"/>
      <c r="F2016" s="126"/>
      <c r="G2016" s="5"/>
    </row>
    <row r="2017" spans="2:7">
      <c r="B2017" s="5"/>
      <c r="C2017" s="5"/>
      <c r="D2017" s="125"/>
      <c r="E2017" s="127"/>
      <c r="F2017" s="126"/>
      <c r="G2017" s="5"/>
    </row>
    <row r="2018" spans="2:7">
      <c r="B2018" s="5"/>
      <c r="C2018" s="5"/>
      <c r="D2018" s="125"/>
      <c r="E2018" s="126"/>
      <c r="F2018" s="127"/>
      <c r="G2018" s="5"/>
    </row>
    <row r="2019" spans="2:7">
      <c r="B2019" s="5"/>
      <c r="C2019" s="5"/>
      <c r="D2019" s="125"/>
      <c r="E2019" s="126"/>
      <c r="F2019" s="127"/>
      <c r="G2019" s="5"/>
    </row>
    <row r="2020" spans="2:7">
      <c r="B2020" s="5"/>
      <c r="C2020" s="5"/>
      <c r="D2020" s="125"/>
      <c r="E2020" s="126"/>
      <c r="F2020" s="127"/>
      <c r="G2020" s="5"/>
    </row>
    <row r="2021" spans="2:7">
      <c r="B2021" s="5"/>
      <c r="C2021" s="5"/>
      <c r="D2021" s="125"/>
      <c r="E2021" s="126"/>
      <c r="F2021" s="127"/>
      <c r="G2021" s="5"/>
    </row>
    <row r="2022" spans="2:7">
      <c r="B2022" s="5"/>
      <c r="C2022" s="5"/>
      <c r="D2022" s="125"/>
      <c r="E2022" s="126"/>
      <c r="F2022" s="127"/>
      <c r="G2022" s="5"/>
    </row>
    <row r="2023" spans="2:7">
      <c r="B2023" s="5"/>
      <c r="C2023" s="5"/>
      <c r="D2023" s="125"/>
      <c r="E2023" s="126"/>
      <c r="F2023" s="127"/>
      <c r="G2023" s="5"/>
    </row>
    <row r="2024" spans="2:7">
      <c r="B2024" s="5"/>
      <c r="C2024" s="5"/>
      <c r="D2024" s="125"/>
      <c r="E2024" s="126"/>
      <c r="F2024" s="127"/>
      <c r="G2024" s="5"/>
    </row>
    <row r="2025" spans="2:7">
      <c r="B2025" s="5"/>
      <c r="C2025" s="5"/>
      <c r="D2025" s="125"/>
      <c r="E2025" s="126"/>
      <c r="F2025" s="127"/>
      <c r="G2025" s="5"/>
    </row>
    <row r="2026" spans="2:7">
      <c r="B2026" s="5"/>
      <c r="C2026" s="5"/>
      <c r="D2026" s="125"/>
      <c r="E2026" s="126"/>
      <c r="F2026" s="127"/>
      <c r="G2026" s="5"/>
    </row>
    <row r="2027" spans="2:7">
      <c r="B2027" s="5"/>
      <c r="C2027" s="5"/>
      <c r="D2027" s="125"/>
      <c r="E2027" s="126"/>
      <c r="F2027" s="127"/>
      <c r="G2027" s="5"/>
    </row>
    <row r="2028" spans="2:7">
      <c r="B2028" s="5"/>
      <c r="C2028" s="5"/>
      <c r="D2028" s="125"/>
      <c r="E2028" s="126"/>
      <c r="F2028" s="127"/>
      <c r="G2028" s="5"/>
    </row>
    <row r="2029" spans="2:7">
      <c r="B2029" s="5"/>
      <c r="C2029" s="5"/>
      <c r="D2029" s="125"/>
      <c r="E2029" s="126"/>
      <c r="F2029" s="127"/>
      <c r="G2029" s="5"/>
    </row>
    <row r="2030" spans="2:7">
      <c r="B2030" s="5"/>
      <c r="C2030" s="5"/>
      <c r="D2030" s="125"/>
      <c r="E2030" s="126"/>
      <c r="F2030" s="127"/>
      <c r="G2030" s="5"/>
    </row>
    <row r="2031" spans="2:7">
      <c r="B2031" s="5"/>
      <c r="C2031" s="5"/>
      <c r="D2031" s="125"/>
      <c r="E2031" s="126"/>
      <c r="F2031" s="127"/>
      <c r="G2031" s="5"/>
    </row>
    <row r="2032" spans="2:7">
      <c r="B2032" s="5"/>
      <c r="C2032" s="5"/>
      <c r="D2032" s="125"/>
      <c r="E2032" s="126"/>
      <c r="F2032" s="127"/>
      <c r="G2032" s="5"/>
    </row>
    <row r="2033" spans="2:7">
      <c r="B2033" s="5"/>
      <c r="C2033" s="5"/>
      <c r="D2033" s="125"/>
      <c r="E2033" s="126"/>
      <c r="F2033" s="127"/>
      <c r="G2033" s="5"/>
    </row>
    <row r="2034" spans="2:7">
      <c r="B2034" s="5"/>
      <c r="C2034" s="5"/>
      <c r="D2034" s="125"/>
      <c r="E2034" s="126"/>
      <c r="F2034" s="127"/>
      <c r="G2034" s="5"/>
    </row>
    <row r="2035" spans="2:7">
      <c r="B2035" s="5"/>
      <c r="C2035" s="5"/>
      <c r="D2035" s="125"/>
      <c r="E2035" s="126"/>
      <c r="F2035" s="127"/>
      <c r="G2035" s="5"/>
    </row>
    <row r="2036" spans="2:7">
      <c r="B2036" s="5"/>
      <c r="C2036" s="5"/>
      <c r="D2036" s="125"/>
      <c r="E2036" s="126"/>
      <c r="F2036" s="127"/>
      <c r="G2036" s="5"/>
    </row>
    <row r="2037" spans="2:7">
      <c r="B2037" s="5"/>
      <c r="C2037" s="5"/>
      <c r="D2037" s="125"/>
      <c r="E2037" s="126"/>
      <c r="F2037" s="127"/>
      <c r="G2037" s="5"/>
    </row>
    <row r="2038" spans="2:7">
      <c r="B2038" s="5"/>
      <c r="C2038" s="5"/>
      <c r="D2038" s="125"/>
      <c r="E2038" s="126"/>
      <c r="F2038" s="127"/>
      <c r="G2038" s="5"/>
    </row>
    <row r="2039" spans="2:7">
      <c r="B2039" s="5"/>
      <c r="C2039" s="5"/>
      <c r="D2039" s="125"/>
      <c r="E2039" s="126"/>
      <c r="F2039" s="127"/>
      <c r="G2039" s="5"/>
    </row>
    <row r="2040" spans="2:7">
      <c r="B2040" s="5"/>
      <c r="C2040" s="5"/>
      <c r="D2040" s="125"/>
      <c r="E2040" s="126"/>
      <c r="F2040" s="127"/>
      <c r="G2040" s="5"/>
    </row>
    <row r="2041" spans="2:7">
      <c r="B2041" s="5"/>
      <c r="C2041" s="5"/>
      <c r="D2041" s="125"/>
      <c r="E2041" s="126"/>
      <c r="F2041" s="127"/>
      <c r="G2041" s="5"/>
    </row>
    <row r="2042" spans="2:7">
      <c r="B2042" s="5"/>
      <c r="C2042" s="5"/>
      <c r="D2042" s="125"/>
      <c r="E2042" s="126"/>
      <c r="F2042" s="127"/>
      <c r="G2042" s="5"/>
    </row>
    <row r="2043" spans="2:7">
      <c r="B2043" s="5"/>
      <c r="C2043" s="5"/>
      <c r="D2043" s="125"/>
      <c r="E2043" s="126"/>
      <c r="F2043" s="127"/>
      <c r="G2043" s="5"/>
    </row>
    <row r="2044" spans="2:7">
      <c r="B2044" s="5"/>
      <c r="C2044" s="5"/>
      <c r="D2044" s="125"/>
      <c r="E2044" s="126"/>
      <c r="F2044" s="127"/>
      <c r="G2044" s="5"/>
    </row>
    <row r="2045" spans="2:7">
      <c r="B2045" s="5"/>
      <c r="C2045" s="5"/>
      <c r="D2045" s="125"/>
      <c r="E2045" s="126"/>
      <c r="F2045" s="127"/>
      <c r="G2045" s="5"/>
    </row>
    <row r="2046" spans="2:7">
      <c r="B2046" s="5"/>
      <c r="C2046" s="5"/>
      <c r="D2046" s="125"/>
      <c r="E2046" s="126"/>
      <c r="F2046" s="127"/>
      <c r="G2046" s="5"/>
    </row>
    <row r="2047" spans="2:7">
      <c r="B2047" s="5"/>
      <c r="C2047" s="5"/>
      <c r="D2047" s="125"/>
      <c r="E2047" s="126"/>
      <c r="F2047" s="127"/>
      <c r="G2047" s="5"/>
    </row>
    <row r="2048" spans="2:7">
      <c r="B2048" s="5"/>
      <c r="C2048" s="5"/>
      <c r="D2048" s="125"/>
      <c r="E2048" s="126"/>
      <c r="F2048" s="127"/>
      <c r="G2048" s="5"/>
    </row>
    <row r="2049" spans="2:7">
      <c r="B2049" s="5"/>
      <c r="C2049" s="5"/>
      <c r="D2049" s="125"/>
      <c r="E2049" s="126"/>
      <c r="F2049" s="127"/>
      <c r="G2049" s="5"/>
    </row>
    <row r="2050" spans="2:7">
      <c r="B2050" s="5"/>
      <c r="C2050" s="5"/>
      <c r="D2050" s="125"/>
      <c r="E2050" s="126"/>
      <c r="F2050" s="127"/>
      <c r="G2050" s="5"/>
    </row>
    <row r="2051" spans="2:7">
      <c r="B2051" s="5"/>
      <c r="C2051" s="5"/>
      <c r="D2051" s="125"/>
      <c r="E2051" s="126"/>
      <c r="F2051" s="127"/>
      <c r="G2051" s="5"/>
    </row>
    <row r="2052" spans="2:7">
      <c r="B2052" s="5"/>
      <c r="C2052" s="5"/>
      <c r="D2052" s="125"/>
      <c r="E2052" s="126"/>
      <c r="F2052" s="127"/>
      <c r="G2052" s="5"/>
    </row>
    <row r="2053" spans="2:7">
      <c r="B2053" s="5"/>
      <c r="C2053" s="5"/>
      <c r="D2053" s="125"/>
      <c r="E2053" s="126"/>
      <c r="F2053" s="127"/>
      <c r="G2053" s="5"/>
    </row>
    <row r="2054" spans="2:7">
      <c r="B2054" s="5"/>
      <c r="C2054" s="5"/>
      <c r="D2054" s="125"/>
      <c r="E2054" s="126"/>
      <c r="F2054" s="127"/>
      <c r="G2054" s="5"/>
    </row>
    <row r="2055" spans="2:7">
      <c r="B2055" s="5"/>
      <c r="C2055" s="5"/>
      <c r="D2055" s="125"/>
      <c r="E2055" s="126"/>
      <c r="F2055" s="127"/>
      <c r="G2055" s="5"/>
    </row>
    <row r="2056" spans="2:7">
      <c r="B2056" s="5"/>
      <c r="C2056" s="5"/>
      <c r="D2056" s="125"/>
      <c r="E2056" s="126"/>
      <c r="F2056" s="127"/>
      <c r="G2056" s="5"/>
    </row>
    <row r="2057" spans="2:7">
      <c r="B2057" s="5"/>
      <c r="C2057" s="5"/>
      <c r="D2057" s="125"/>
      <c r="E2057" s="126"/>
      <c r="F2057" s="127"/>
      <c r="G2057" s="5"/>
    </row>
    <row r="2058" spans="2:7">
      <c r="B2058" s="5"/>
      <c r="C2058" s="5"/>
      <c r="D2058" s="125"/>
      <c r="E2058" s="126"/>
      <c r="F2058" s="127"/>
      <c r="G2058" s="5"/>
    </row>
    <row r="2059" spans="2:7">
      <c r="B2059" s="5"/>
      <c r="C2059" s="5"/>
      <c r="D2059" s="125"/>
      <c r="E2059" s="126"/>
      <c r="F2059" s="127"/>
      <c r="G2059" s="5"/>
    </row>
    <row r="2060" spans="2:7">
      <c r="B2060" s="5"/>
      <c r="C2060" s="5"/>
      <c r="D2060" s="125"/>
      <c r="E2060" s="126"/>
      <c r="F2060" s="127"/>
      <c r="G2060" s="5"/>
    </row>
    <row r="2061" spans="2:7">
      <c r="B2061" s="5"/>
      <c r="C2061" s="5"/>
      <c r="D2061" s="125"/>
      <c r="E2061" s="126"/>
      <c r="F2061" s="127"/>
      <c r="G2061" s="5"/>
    </row>
    <row r="2062" spans="2:7">
      <c r="B2062" s="5"/>
      <c r="C2062" s="5"/>
      <c r="D2062" s="125"/>
      <c r="E2062" s="126"/>
      <c r="F2062" s="127"/>
      <c r="G2062" s="5"/>
    </row>
    <row r="2063" spans="2:7">
      <c r="B2063" s="5"/>
      <c r="C2063" s="5"/>
      <c r="D2063" s="125"/>
      <c r="E2063" s="126"/>
      <c r="F2063" s="127"/>
      <c r="G2063" s="5"/>
    </row>
    <row r="2064" spans="2:7">
      <c r="B2064" s="5"/>
      <c r="C2064" s="5"/>
      <c r="D2064" s="125"/>
      <c r="E2064" s="126"/>
      <c r="F2064" s="127"/>
      <c r="G2064" s="5"/>
    </row>
    <row r="2065" spans="2:7">
      <c r="B2065" s="5"/>
      <c r="C2065" s="5"/>
      <c r="D2065" s="125"/>
      <c r="E2065" s="126"/>
      <c r="F2065" s="127"/>
      <c r="G2065" s="5"/>
    </row>
    <row r="2066" spans="2:7">
      <c r="B2066" s="5"/>
      <c r="C2066" s="5"/>
      <c r="D2066" s="125"/>
      <c r="E2066" s="126"/>
      <c r="F2066" s="127"/>
      <c r="G2066" s="5"/>
    </row>
    <row r="2067" spans="2:7">
      <c r="B2067" s="5"/>
      <c r="C2067" s="5"/>
      <c r="D2067" s="125"/>
      <c r="E2067" s="126"/>
      <c r="F2067" s="127"/>
      <c r="G2067" s="5"/>
    </row>
    <row r="2068" spans="2:7">
      <c r="B2068" s="5"/>
      <c r="C2068" s="5"/>
      <c r="D2068" s="125"/>
      <c r="E2068" s="126"/>
      <c r="F2068" s="127"/>
      <c r="G2068" s="5"/>
    </row>
    <row r="2069" spans="2:7">
      <c r="B2069" s="5"/>
      <c r="C2069" s="5"/>
      <c r="D2069" s="125"/>
      <c r="E2069" s="126"/>
      <c r="F2069" s="127"/>
      <c r="G2069" s="5"/>
    </row>
    <row r="2070" spans="2:7">
      <c r="B2070" s="5"/>
      <c r="C2070" s="5"/>
      <c r="D2070" s="125"/>
      <c r="E2070" s="126"/>
      <c r="F2070" s="127"/>
      <c r="G2070" s="5"/>
    </row>
    <row r="2071" spans="2:7">
      <c r="B2071" s="5"/>
      <c r="C2071" s="5"/>
      <c r="D2071" s="125"/>
      <c r="E2071" s="126"/>
      <c r="F2071" s="127"/>
      <c r="G2071" s="5"/>
    </row>
    <row r="2072" spans="2:7">
      <c r="B2072" s="5"/>
      <c r="C2072" s="5"/>
      <c r="D2072" s="125"/>
      <c r="E2072" s="126"/>
      <c r="F2072" s="127"/>
      <c r="G2072" s="5"/>
    </row>
    <row r="2073" spans="2:7">
      <c r="B2073" s="5"/>
      <c r="C2073" s="5"/>
      <c r="D2073" s="125"/>
      <c r="E2073" s="126"/>
      <c r="F2073" s="127"/>
      <c r="G2073" s="5"/>
    </row>
    <row r="2074" spans="2:7">
      <c r="B2074" s="5"/>
      <c r="C2074" s="5"/>
      <c r="D2074" s="125"/>
      <c r="E2074" s="126"/>
      <c r="F2074" s="127"/>
      <c r="G2074" s="5"/>
    </row>
    <row r="2075" spans="2:7">
      <c r="B2075" s="5"/>
      <c r="C2075" s="5"/>
      <c r="D2075" s="125"/>
      <c r="E2075" s="126"/>
      <c r="F2075" s="127"/>
      <c r="G2075" s="5"/>
    </row>
    <row r="2076" spans="2:7">
      <c r="B2076" s="5"/>
      <c r="C2076" s="5"/>
      <c r="D2076" s="125"/>
      <c r="E2076" s="126"/>
      <c r="F2076" s="127"/>
      <c r="G2076" s="5"/>
    </row>
    <row r="2077" spans="2:7">
      <c r="B2077" s="5"/>
      <c r="C2077" s="5"/>
      <c r="D2077" s="125"/>
      <c r="E2077" s="126"/>
      <c r="F2077" s="127"/>
      <c r="G2077" s="5"/>
    </row>
    <row r="2078" spans="2:7">
      <c r="B2078" s="5"/>
      <c r="C2078" s="5"/>
      <c r="D2078" s="125"/>
      <c r="E2078" s="126"/>
      <c r="F2078" s="127"/>
      <c r="G2078" s="5"/>
    </row>
    <row r="2079" spans="2:7">
      <c r="B2079" s="5"/>
      <c r="C2079" s="5"/>
      <c r="D2079" s="125"/>
      <c r="E2079" s="126"/>
      <c r="F2079" s="127"/>
      <c r="G2079" s="5"/>
    </row>
    <row r="2080" spans="2:7">
      <c r="B2080" s="5"/>
      <c r="C2080" s="5"/>
      <c r="D2080" s="125"/>
      <c r="E2080" s="126"/>
      <c r="F2080" s="127"/>
      <c r="G2080" s="5"/>
    </row>
    <row r="2081" spans="2:7">
      <c r="B2081" s="5"/>
      <c r="C2081" s="5"/>
      <c r="D2081" s="125"/>
      <c r="E2081" s="126"/>
      <c r="F2081" s="127"/>
      <c r="G2081" s="5"/>
    </row>
    <row r="2082" spans="2:7">
      <c r="B2082" s="5"/>
      <c r="C2082" s="5"/>
      <c r="D2082" s="125"/>
      <c r="E2082" s="126"/>
      <c r="F2082" s="127"/>
      <c r="G2082" s="5"/>
    </row>
    <row r="2083" spans="2:7">
      <c r="B2083" s="5"/>
      <c r="C2083" s="5"/>
      <c r="D2083" s="125"/>
      <c r="E2083" s="126"/>
      <c r="F2083" s="127"/>
      <c r="G2083" s="5"/>
    </row>
    <row r="2084" spans="2:7">
      <c r="B2084" s="5"/>
      <c r="C2084" s="5"/>
      <c r="D2084" s="125"/>
      <c r="E2084" s="126"/>
      <c r="F2084" s="127"/>
      <c r="G2084" s="5"/>
    </row>
    <row r="2085" spans="2:7">
      <c r="B2085" s="5"/>
      <c r="C2085" s="5"/>
      <c r="D2085" s="125"/>
      <c r="E2085" s="126"/>
      <c r="F2085" s="127"/>
      <c r="G2085" s="5"/>
    </row>
    <row r="2086" spans="2:7">
      <c r="B2086" s="5"/>
      <c r="C2086" s="5"/>
      <c r="D2086" s="125"/>
      <c r="E2086" s="126"/>
      <c r="F2086" s="127"/>
      <c r="G2086" s="5"/>
    </row>
    <row r="2087" spans="2:7">
      <c r="B2087" s="5"/>
      <c r="C2087" s="5"/>
      <c r="D2087" s="125"/>
      <c r="E2087" s="126"/>
      <c r="F2087" s="127"/>
      <c r="G2087" s="5"/>
    </row>
    <row r="2088" spans="2:7">
      <c r="B2088" s="5"/>
      <c r="C2088" s="5"/>
      <c r="D2088" s="125"/>
      <c r="E2088" s="126"/>
      <c r="F2088" s="127"/>
      <c r="G2088" s="5"/>
    </row>
    <row r="2089" spans="2:7">
      <c r="B2089" s="5"/>
      <c r="C2089" s="5"/>
      <c r="D2089" s="125"/>
      <c r="E2089" s="126"/>
      <c r="F2089" s="127"/>
      <c r="G2089" s="5"/>
    </row>
    <row r="2090" spans="2:7">
      <c r="B2090" s="5"/>
      <c r="C2090" s="5"/>
      <c r="D2090" s="125"/>
      <c r="E2090" s="126"/>
      <c r="F2090" s="127"/>
      <c r="G2090" s="5"/>
    </row>
    <row r="2091" spans="2:7">
      <c r="B2091" s="5"/>
      <c r="C2091" s="5"/>
      <c r="D2091" s="125"/>
      <c r="E2091" s="126"/>
      <c r="F2091" s="127"/>
      <c r="G2091" s="5"/>
    </row>
    <row r="2092" spans="2:7">
      <c r="B2092" s="5"/>
      <c r="C2092" s="5"/>
      <c r="D2092" s="125"/>
      <c r="E2092" s="126"/>
      <c r="F2092" s="127"/>
      <c r="G2092" s="5"/>
    </row>
    <row r="2093" spans="2:7">
      <c r="B2093" s="5"/>
      <c r="C2093" s="5"/>
      <c r="D2093" s="125"/>
      <c r="E2093" s="126"/>
      <c r="F2093" s="127"/>
      <c r="G2093" s="5"/>
    </row>
    <row r="2094" spans="2:7">
      <c r="B2094" s="5"/>
      <c r="C2094" s="5"/>
      <c r="D2094" s="125"/>
      <c r="E2094" s="126"/>
      <c r="F2094" s="127"/>
      <c r="G2094" s="5"/>
    </row>
    <row r="2095" spans="2:7">
      <c r="B2095" s="5"/>
      <c r="C2095" s="5"/>
      <c r="D2095" s="125"/>
      <c r="E2095" s="126"/>
      <c r="F2095" s="127"/>
      <c r="G2095" s="5"/>
    </row>
    <row r="2096" spans="2:7">
      <c r="B2096" s="5"/>
      <c r="C2096" s="5"/>
      <c r="D2096" s="125"/>
      <c r="E2096" s="126"/>
      <c r="F2096" s="127"/>
      <c r="G2096" s="5"/>
    </row>
    <row r="2097" spans="2:7">
      <c r="B2097" s="5"/>
      <c r="C2097" s="5"/>
      <c r="D2097" s="125"/>
      <c r="E2097" s="126"/>
      <c r="F2097" s="127"/>
      <c r="G2097" s="5"/>
    </row>
    <row r="2098" spans="2:7">
      <c r="B2098" s="5"/>
      <c r="C2098" s="5"/>
      <c r="D2098" s="125"/>
      <c r="E2098" s="126"/>
      <c r="F2098" s="127"/>
      <c r="G2098" s="5"/>
    </row>
    <row r="2099" spans="2:7">
      <c r="B2099" s="5"/>
      <c r="C2099" s="5"/>
      <c r="D2099" s="125"/>
      <c r="E2099" s="126"/>
      <c r="F2099" s="127"/>
      <c r="G2099" s="5"/>
    </row>
    <row r="2100" spans="2:7">
      <c r="B2100" s="5"/>
      <c r="C2100" s="5"/>
      <c r="D2100" s="125"/>
      <c r="E2100" s="126"/>
      <c r="F2100" s="127"/>
      <c r="G2100" s="5"/>
    </row>
    <row r="2101" spans="2:7">
      <c r="B2101" s="5"/>
      <c r="C2101" s="5"/>
      <c r="D2101" s="125"/>
      <c r="E2101" s="126"/>
      <c r="F2101" s="127"/>
      <c r="G2101" s="5"/>
    </row>
    <row r="2102" spans="2:7">
      <c r="B2102" s="5"/>
      <c r="C2102" s="5"/>
      <c r="D2102" s="125"/>
      <c r="E2102" s="126"/>
      <c r="F2102" s="127"/>
      <c r="G2102" s="5"/>
    </row>
    <row r="2103" spans="2:7">
      <c r="B2103" s="5"/>
      <c r="C2103" s="5"/>
      <c r="D2103" s="125"/>
      <c r="E2103" s="126"/>
      <c r="F2103" s="127"/>
      <c r="G2103" s="5"/>
    </row>
    <row r="2104" spans="2:7">
      <c r="B2104" s="5"/>
      <c r="C2104" s="5"/>
      <c r="D2104" s="125"/>
      <c r="E2104" s="126"/>
      <c r="F2104" s="127"/>
      <c r="G2104" s="5"/>
    </row>
    <row r="2105" spans="2:7">
      <c r="B2105" s="5"/>
      <c r="C2105" s="5"/>
      <c r="D2105" s="125"/>
      <c r="E2105" s="126"/>
      <c r="F2105" s="127"/>
      <c r="G2105" s="5"/>
    </row>
    <row r="2106" spans="2:7">
      <c r="B2106" s="5"/>
      <c r="C2106" s="5"/>
      <c r="D2106" s="125"/>
      <c r="E2106" s="126"/>
      <c r="F2106" s="127"/>
      <c r="G2106" s="5"/>
    </row>
    <row r="2107" spans="2:7">
      <c r="B2107" s="5"/>
      <c r="C2107" s="5"/>
      <c r="D2107" s="125"/>
      <c r="E2107" s="126"/>
      <c r="F2107" s="127"/>
      <c r="G2107" s="5"/>
    </row>
    <row r="2108" spans="2:7">
      <c r="B2108" s="5"/>
      <c r="C2108" s="5"/>
      <c r="D2108" s="125"/>
      <c r="E2108" s="126"/>
      <c r="F2108" s="127"/>
      <c r="G2108" s="5"/>
    </row>
    <row r="2109" spans="2:7">
      <c r="B2109" s="5"/>
      <c r="C2109" s="5"/>
      <c r="D2109" s="125"/>
      <c r="E2109" s="126"/>
      <c r="F2109" s="127"/>
      <c r="G2109" s="5"/>
    </row>
    <row r="2110" spans="2:7">
      <c r="B2110" s="5"/>
      <c r="C2110" s="5"/>
      <c r="D2110" s="125"/>
      <c r="E2110" s="126"/>
      <c r="F2110" s="127"/>
      <c r="G2110" s="5"/>
    </row>
    <row r="2111" spans="2:7">
      <c r="B2111" s="5"/>
      <c r="C2111" s="5"/>
      <c r="D2111" s="125"/>
      <c r="E2111" s="126"/>
      <c r="F2111" s="127"/>
      <c r="G2111" s="5"/>
    </row>
    <row r="2112" spans="2:7">
      <c r="B2112" s="5"/>
      <c r="C2112" s="5"/>
      <c r="D2112" s="125"/>
      <c r="E2112" s="126"/>
      <c r="F2112" s="127"/>
      <c r="G2112" s="5"/>
    </row>
    <row r="2113" spans="2:7">
      <c r="B2113" s="5"/>
      <c r="C2113" s="5"/>
      <c r="D2113" s="125"/>
      <c r="E2113" s="126"/>
      <c r="F2113" s="127"/>
      <c r="G2113" s="5"/>
    </row>
    <row r="2114" spans="2:7">
      <c r="B2114" s="5"/>
      <c r="C2114" s="5"/>
      <c r="D2114" s="125"/>
      <c r="E2114" s="126"/>
      <c r="F2114" s="127"/>
      <c r="G2114" s="5"/>
    </row>
    <row r="2115" spans="2:7">
      <c r="B2115" s="5"/>
      <c r="C2115" s="5"/>
      <c r="D2115" s="125"/>
      <c r="E2115" s="126"/>
      <c r="F2115" s="127"/>
      <c r="G2115" s="5"/>
    </row>
    <row r="2116" spans="2:7">
      <c r="B2116" s="5"/>
      <c r="C2116" s="5"/>
      <c r="D2116" s="125"/>
      <c r="E2116" s="126"/>
      <c r="F2116" s="127"/>
      <c r="G2116" s="5"/>
    </row>
    <row r="2117" spans="2:7">
      <c r="B2117" s="5"/>
      <c r="C2117" s="5"/>
      <c r="D2117" s="125"/>
      <c r="E2117" s="126"/>
      <c r="F2117" s="127"/>
      <c r="G2117" s="5"/>
    </row>
    <row r="2118" spans="2:7">
      <c r="B2118" s="5"/>
      <c r="C2118" s="5"/>
      <c r="D2118" s="125"/>
      <c r="E2118" s="126"/>
      <c r="F2118" s="127"/>
      <c r="G2118" s="5"/>
    </row>
    <row r="2119" spans="2:7">
      <c r="B2119" s="5"/>
      <c r="C2119" s="5"/>
      <c r="D2119" s="125"/>
      <c r="E2119" s="126"/>
      <c r="F2119" s="127"/>
      <c r="G2119" s="5"/>
    </row>
    <row r="2120" spans="2:7">
      <c r="B2120" s="5"/>
      <c r="C2120" s="5"/>
      <c r="D2120" s="125"/>
      <c r="E2120" s="126"/>
      <c r="F2120" s="127"/>
      <c r="G2120" s="5"/>
    </row>
    <row r="2121" spans="2:7">
      <c r="B2121" s="5"/>
      <c r="C2121" s="5"/>
      <c r="D2121" s="125"/>
      <c r="E2121" s="126"/>
      <c r="F2121" s="127"/>
      <c r="G2121" s="5"/>
    </row>
    <row r="2122" spans="2:7">
      <c r="B2122" s="5"/>
      <c r="C2122" s="5"/>
      <c r="D2122" s="125"/>
      <c r="E2122" s="126"/>
      <c r="F2122" s="127"/>
      <c r="G2122" s="5"/>
    </row>
    <row r="2123" spans="2:7">
      <c r="B2123" s="5"/>
      <c r="C2123" s="5"/>
      <c r="D2123" s="125"/>
      <c r="E2123" s="126"/>
      <c r="F2123" s="127"/>
      <c r="G2123" s="5"/>
    </row>
    <row r="2124" spans="2:7">
      <c r="B2124" s="5"/>
      <c r="C2124" s="5"/>
      <c r="D2124" s="125"/>
      <c r="E2124" s="126"/>
      <c r="F2124" s="127"/>
      <c r="G2124" s="5"/>
    </row>
    <row r="2125" spans="2:7">
      <c r="B2125" s="5"/>
      <c r="C2125" s="5"/>
      <c r="D2125" s="125"/>
      <c r="E2125" s="126"/>
      <c r="F2125" s="127"/>
      <c r="G2125" s="5"/>
    </row>
    <row r="2126" spans="2:7">
      <c r="B2126" s="5"/>
      <c r="C2126" s="5"/>
      <c r="D2126" s="125"/>
      <c r="E2126" s="126"/>
      <c r="F2126" s="127"/>
      <c r="G2126" s="5"/>
    </row>
    <row r="2127" spans="2:7">
      <c r="B2127" s="5"/>
      <c r="C2127" s="5"/>
      <c r="D2127" s="125"/>
      <c r="E2127" s="126"/>
      <c r="F2127" s="127"/>
      <c r="G2127" s="5"/>
    </row>
    <row r="2128" spans="2:7">
      <c r="B2128" s="5"/>
      <c r="C2128" s="5"/>
      <c r="D2128" s="125"/>
      <c r="E2128" s="126"/>
      <c r="F2128" s="127"/>
      <c r="G2128" s="5"/>
    </row>
    <row r="2129" spans="2:7">
      <c r="B2129" s="5"/>
      <c r="C2129" s="5"/>
      <c r="D2129" s="125"/>
      <c r="E2129" s="126"/>
      <c r="F2129" s="127"/>
      <c r="G2129" s="5"/>
    </row>
    <row r="2130" spans="2:7">
      <c r="B2130" s="5"/>
      <c r="C2130" s="5"/>
      <c r="D2130" s="125"/>
      <c r="E2130" s="126"/>
      <c r="F2130" s="127"/>
      <c r="G2130" s="5"/>
    </row>
    <row r="2131" spans="2:7">
      <c r="B2131" s="5"/>
      <c r="C2131" s="5"/>
      <c r="D2131" s="125"/>
      <c r="E2131" s="126"/>
      <c r="F2131" s="127"/>
      <c r="G2131" s="5"/>
    </row>
    <row r="2132" spans="2:7">
      <c r="B2132" s="5"/>
      <c r="C2132" s="5"/>
      <c r="D2132" s="125"/>
      <c r="E2132" s="126"/>
      <c r="F2132" s="127"/>
      <c r="G2132" s="5"/>
    </row>
    <row r="2133" spans="2:7">
      <c r="B2133" s="5"/>
      <c r="C2133" s="5"/>
      <c r="D2133" s="125"/>
      <c r="E2133" s="126"/>
      <c r="F2133" s="127"/>
      <c r="G2133" s="5"/>
    </row>
    <row r="2134" spans="2:7">
      <c r="B2134" s="5"/>
      <c r="C2134" s="5"/>
      <c r="D2134" s="125"/>
      <c r="E2134" s="126"/>
      <c r="F2134" s="127"/>
      <c r="G2134" s="5"/>
    </row>
    <row r="2135" spans="2:7">
      <c r="B2135" s="5"/>
      <c r="C2135" s="5"/>
      <c r="D2135" s="125"/>
      <c r="E2135" s="126"/>
      <c r="F2135" s="127"/>
      <c r="G2135" s="5"/>
    </row>
    <row r="2136" spans="2:7">
      <c r="B2136" s="5"/>
      <c r="C2136" s="5"/>
      <c r="D2136" s="125"/>
      <c r="E2136" s="126"/>
      <c r="F2136" s="127"/>
      <c r="G2136" s="5"/>
    </row>
    <row r="2137" spans="2:7">
      <c r="B2137" s="5"/>
      <c r="C2137" s="5"/>
      <c r="D2137" s="125"/>
      <c r="E2137" s="126"/>
      <c r="F2137" s="127"/>
      <c r="G2137" s="5"/>
    </row>
    <row r="2138" spans="2:7">
      <c r="B2138" s="5"/>
      <c r="C2138" s="5"/>
      <c r="D2138" s="125"/>
      <c r="E2138" s="126"/>
      <c r="F2138" s="127"/>
      <c r="G2138" s="5"/>
    </row>
    <row r="2139" spans="2:7">
      <c r="B2139" s="5"/>
      <c r="C2139" s="5"/>
      <c r="D2139" s="125"/>
      <c r="E2139" s="126"/>
      <c r="F2139" s="127"/>
      <c r="G2139" s="5"/>
    </row>
    <row r="2140" spans="2:7">
      <c r="B2140" s="5"/>
      <c r="C2140" s="5"/>
      <c r="D2140" s="125"/>
      <c r="E2140" s="126"/>
      <c r="F2140" s="127"/>
      <c r="G2140" s="5"/>
    </row>
    <row r="2141" spans="2:7">
      <c r="B2141" s="5"/>
      <c r="C2141" s="5"/>
      <c r="D2141" s="125"/>
      <c r="E2141" s="126"/>
      <c r="F2141" s="127"/>
      <c r="G2141" s="5"/>
    </row>
    <row r="2142" spans="2:7">
      <c r="B2142" s="5"/>
      <c r="C2142" s="5"/>
      <c r="D2142" s="125"/>
      <c r="E2142" s="126"/>
      <c r="F2142" s="127"/>
      <c r="G2142" s="5"/>
    </row>
    <row r="2143" spans="2:7">
      <c r="B2143" s="5"/>
      <c r="C2143" s="5"/>
      <c r="D2143" s="125"/>
      <c r="E2143" s="126"/>
      <c r="F2143" s="127"/>
      <c r="G2143" s="5"/>
    </row>
    <row r="2144" spans="2:7">
      <c r="B2144" s="5"/>
      <c r="C2144" s="5"/>
      <c r="D2144" s="125"/>
      <c r="E2144" s="126"/>
      <c r="F2144" s="127"/>
      <c r="G2144" s="5"/>
    </row>
    <row r="2145" spans="2:7">
      <c r="B2145" s="5"/>
      <c r="C2145" s="5"/>
      <c r="D2145" s="125"/>
      <c r="E2145" s="126"/>
      <c r="F2145" s="127"/>
      <c r="G2145" s="5"/>
    </row>
    <row r="2146" spans="2:7">
      <c r="B2146" s="5"/>
      <c r="C2146" s="5"/>
      <c r="D2146" s="125"/>
      <c r="E2146" s="126"/>
      <c r="F2146" s="127"/>
      <c r="G2146" s="5"/>
    </row>
    <row r="2147" spans="2:7">
      <c r="B2147" s="5"/>
      <c r="C2147" s="5"/>
      <c r="D2147" s="125"/>
      <c r="E2147" s="126"/>
      <c r="F2147" s="127"/>
      <c r="G2147" s="5"/>
    </row>
    <row r="2148" spans="2:7">
      <c r="B2148" s="5"/>
      <c r="C2148" s="5"/>
      <c r="D2148" s="125"/>
      <c r="E2148" s="126"/>
      <c r="F2148" s="127"/>
      <c r="G2148" s="5"/>
    </row>
    <row r="2149" spans="2:7">
      <c r="B2149" s="5"/>
      <c r="C2149" s="5"/>
      <c r="D2149" s="125"/>
      <c r="E2149" s="126"/>
      <c r="F2149" s="127"/>
      <c r="G2149" s="5"/>
    </row>
    <row r="2150" spans="2:7">
      <c r="B2150" s="5"/>
      <c r="C2150" s="5"/>
      <c r="D2150" s="125"/>
      <c r="E2150" s="126"/>
      <c r="F2150" s="127"/>
      <c r="G2150" s="5"/>
    </row>
    <row r="2151" spans="2:7">
      <c r="B2151" s="5"/>
      <c r="C2151" s="5"/>
      <c r="D2151" s="125"/>
      <c r="E2151" s="126"/>
      <c r="F2151" s="127"/>
      <c r="G2151" s="5"/>
    </row>
    <row r="2152" spans="2:7">
      <c r="B2152" s="5"/>
      <c r="C2152" s="5"/>
      <c r="D2152" s="125"/>
      <c r="E2152" s="126"/>
      <c r="F2152" s="127"/>
      <c r="G2152" s="5"/>
    </row>
    <row r="2153" spans="2:7">
      <c r="B2153" s="5"/>
      <c r="C2153" s="5"/>
      <c r="D2153" s="125"/>
      <c r="E2153" s="126"/>
      <c r="F2153" s="127"/>
      <c r="G2153" s="5"/>
    </row>
    <row r="2154" spans="2:7">
      <c r="B2154" s="5"/>
      <c r="C2154" s="5"/>
      <c r="D2154" s="125"/>
      <c r="E2154" s="126"/>
      <c r="F2154" s="127"/>
      <c r="G2154" s="5"/>
    </row>
    <row r="2155" spans="2:7">
      <c r="B2155" s="5"/>
      <c r="C2155" s="5"/>
      <c r="D2155" s="125"/>
      <c r="E2155" s="126"/>
      <c r="F2155" s="127"/>
      <c r="G2155" s="5"/>
    </row>
    <row r="2156" spans="2:7">
      <c r="B2156" s="5"/>
      <c r="C2156" s="5"/>
      <c r="D2156" s="125"/>
      <c r="E2156" s="126"/>
      <c r="F2156" s="127"/>
      <c r="G2156" s="5"/>
    </row>
    <row r="2157" spans="2:7">
      <c r="B2157" s="5"/>
      <c r="C2157" s="5"/>
      <c r="D2157" s="125"/>
      <c r="E2157" s="126"/>
      <c r="F2157" s="127"/>
      <c r="G2157" s="5"/>
    </row>
    <row r="2158" spans="2:7">
      <c r="B2158" s="5"/>
      <c r="C2158" s="5"/>
      <c r="D2158" s="125"/>
      <c r="E2158" s="126"/>
      <c r="F2158" s="127"/>
      <c r="G2158" s="5"/>
    </row>
    <row r="2159" spans="2:7">
      <c r="B2159" s="5"/>
      <c r="C2159" s="5"/>
      <c r="D2159" s="125"/>
      <c r="E2159" s="126"/>
      <c r="F2159" s="127"/>
      <c r="G2159" s="5"/>
    </row>
    <row r="2160" spans="2:7">
      <c r="B2160" s="5"/>
      <c r="C2160" s="5"/>
      <c r="D2160" s="125"/>
      <c r="E2160" s="126"/>
      <c r="F2160" s="127"/>
      <c r="G2160" s="5"/>
    </row>
    <row r="2161" spans="2:7">
      <c r="B2161" s="5"/>
      <c r="C2161" s="5"/>
      <c r="D2161" s="125"/>
      <c r="E2161" s="126"/>
      <c r="F2161" s="127"/>
      <c r="G2161" s="5"/>
    </row>
    <row r="2162" spans="2:7">
      <c r="B2162" s="5"/>
      <c r="C2162" s="5"/>
      <c r="D2162" s="125"/>
      <c r="E2162" s="126"/>
      <c r="F2162" s="127"/>
      <c r="G2162" s="5"/>
    </row>
    <row r="2163" spans="2:7">
      <c r="B2163" s="5"/>
      <c r="C2163" s="5"/>
      <c r="D2163" s="125"/>
      <c r="E2163" s="126"/>
      <c r="F2163" s="127"/>
      <c r="G2163" s="5"/>
    </row>
    <row r="2164" spans="2:7">
      <c r="B2164" s="5"/>
      <c r="C2164" s="5"/>
      <c r="D2164" s="125"/>
      <c r="E2164" s="126"/>
      <c r="F2164" s="127"/>
      <c r="G2164" s="5"/>
    </row>
    <row r="2165" spans="2:7">
      <c r="B2165" s="5"/>
      <c r="C2165" s="5"/>
      <c r="D2165" s="125"/>
      <c r="E2165" s="126"/>
      <c r="F2165" s="127"/>
      <c r="G2165" s="5"/>
    </row>
    <row r="2166" spans="2:7">
      <c r="B2166" s="5"/>
      <c r="C2166" s="5"/>
      <c r="D2166" s="125"/>
      <c r="E2166" s="126"/>
      <c r="F2166" s="127"/>
      <c r="G2166" s="5"/>
    </row>
    <row r="2167" spans="2:7">
      <c r="B2167" s="5"/>
      <c r="C2167" s="5"/>
      <c r="D2167" s="125"/>
      <c r="E2167" s="126"/>
      <c r="F2167" s="127"/>
      <c r="G2167" s="5"/>
    </row>
    <row r="2168" spans="2:7">
      <c r="B2168" s="5"/>
      <c r="C2168" s="5"/>
      <c r="D2168" s="125"/>
      <c r="E2168" s="126"/>
      <c r="F2168" s="127"/>
      <c r="G2168" s="5"/>
    </row>
    <row r="2169" spans="2:7">
      <c r="B2169" s="5"/>
      <c r="C2169" s="5"/>
      <c r="D2169" s="125"/>
      <c r="E2169" s="126"/>
      <c r="F2169" s="127"/>
      <c r="G2169" s="5"/>
    </row>
    <row r="2170" spans="2:7">
      <c r="B2170" s="5"/>
      <c r="C2170" s="5"/>
      <c r="D2170" s="125"/>
      <c r="E2170" s="126"/>
      <c r="F2170" s="127"/>
      <c r="G2170" s="5"/>
    </row>
    <row r="2171" spans="2:7">
      <c r="B2171" s="5"/>
      <c r="C2171" s="5"/>
      <c r="D2171" s="125"/>
      <c r="E2171" s="126"/>
      <c r="F2171" s="127"/>
      <c r="G2171" s="5"/>
    </row>
    <row r="2172" spans="2:7">
      <c r="B2172" s="5"/>
      <c r="C2172" s="5"/>
      <c r="D2172" s="125"/>
      <c r="E2172" s="126"/>
      <c r="F2172" s="127"/>
      <c r="G2172" s="5"/>
    </row>
    <row r="2173" spans="2:7">
      <c r="B2173" s="5"/>
      <c r="C2173" s="5"/>
      <c r="D2173" s="125"/>
      <c r="E2173" s="126"/>
      <c r="F2173" s="127"/>
      <c r="G2173" s="5"/>
    </row>
    <row r="2174" spans="2:7">
      <c r="B2174" s="5"/>
      <c r="C2174" s="5"/>
      <c r="D2174" s="125"/>
      <c r="E2174" s="126"/>
      <c r="F2174" s="127"/>
      <c r="G2174" s="5"/>
    </row>
    <row r="2175" spans="2:7">
      <c r="B2175" s="5"/>
      <c r="C2175" s="5"/>
      <c r="D2175" s="125"/>
      <c r="E2175" s="126"/>
      <c r="F2175" s="127"/>
      <c r="G2175" s="5"/>
    </row>
    <row r="2176" spans="2:7">
      <c r="B2176" s="5"/>
      <c r="C2176" s="5"/>
      <c r="D2176" s="125"/>
      <c r="E2176" s="126"/>
      <c r="F2176" s="127"/>
      <c r="G2176" s="5"/>
    </row>
    <row r="2177" spans="2:7">
      <c r="B2177" s="5"/>
      <c r="C2177" s="5"/>
      <c r="D2177" s="125"/>
      <c r="E2177" s="126"/>
      <c r="F2177" s="127"/>
      <c r="G2177" s="5"/>
    </row>
    <row r="2178" spans="2:7">
      <c r="B2178" s="5"/>
      <c r="C2178" s="5"/>
      <c r="D2178" s="125"/>
      <c r="E2178" s="126"/>
      <c r="F2178" s="127"/>
      <c r="G2178" s="5"/>
    </row>
    <row r="2179" spans="2:7">
      <c r="B2179" s="5"/>
      <c r="C2179" s="5"/>
      <c r="D2179" s="125"/>
      <c r="E2179" s="126"/>
      <c r="F2179" s="127"/>
      <c r="G2179" s="5"/>
    </row>
    <row r="2180" spans="2:7">
      <c r="B2180" s="5"/>
      <c r="C2180" s="5"/>
      <c r="D2180" s="125"/>
      <c r="E2180" s="126"/>
      <c r="F2180" s="127"/>
      <c r="G2180" s="5"/>
    </row>
    <row r="2181" spans="2:7">
      <c r="B2181" s="5"/>
      <c r="C2181" s="5"/>
      <c r="D2181" s="125"/>
      <c r="E2181" s="126"/>
      <c r="F2181" s="127"/>
      <c r="G2181" s="5"/>
    </row>
    <row r="2182" spans="2:7">
      <c r="B2182" s="5"/>
      <c r="C2182" s="5"/>
      <c r="D2182" s="125"/>
      <c r="E2182" s="126"/>
      <c r="F2182" s="127"/>
      <c r="G2182" s="5"/>
    </row>
    <row r="2183" spans="2:7">
      <c r="B2183" s="5"/>
      <c r="C2183" s="5"/>
      <c r="D2183" s="125"/>
      <c r="E2183" s="126"/>
      <c r="F2183" s="127"/>
      <c r="G2183" s="5"/>
    </row>
    <row r="2184" spans="2:7">
      <c r="B2184" s="5"/>
      <c r="C2184" s="5"/>
      <c r="D2184" s="125"/>
      <c r="E2184" s="126"/>
      <c r="F2184" s="127"/>
      <c r="G2184" s="5"/>
    </row>
    <row r="2185" spans="2:7">
      <c r="B2185" s="5"/>
      <c r="C2185" s="5"/>
      <c r="D2185" s="125"/>
      <c r="E2185" s="126"/>
      <c r="F2185" s="127"/>
      <c r="G2185" s="5"/>
    </row>
    <row r="2186" spans="2:7">
      <c r="B2186" s="5"/>
      <c r="C2186" s="5"/>
      <c r="D2186" s="125"/>
      <c r="E2186" s="126"/>
      <c r="F2186" s="127"/>
      <c r="G2186" s="5"/>
    </row>
    <row r="2187" spans="2:7">
      <c r="B2187" s="5"/>
      <c r="C2187" s="5"/>
      <c r="D2187" s="125"/>
      <c r="E2187" s="126"/>
      <c r="F2187" s="127"/>
      <c r="G2187" s="5"/>
    </row>
    <row r="2188" spans="2:7">
      <c r="B2188" s="5"/>
      <c r="C2188" s="5"/>
      <c r="D2188" s="125"/>
      <c r="E2188" s="126"/>
      <c r="F2188" s="127"/>
      <c r="G2188" s="5"/>
    </row>
    <row r="2189" spans="2:7">
      <c r="B2189" s="5"/>
      <c r="C2189" s="5"/>
      <c r="D2189" s="125"/>
      <c r="E2189" s="126"/>
      <c r="F2189" s="127"/>
      <c r="G2189" s="5"/>
    </row>
    <row r="2190" spans="2:7">
      <c r="B2190" s="5"/>
      <c r="C2190" s="5"/>
      <c r="D2190" s="125"/>
      <c r="E2190" s="126"/>
      <c r="F2190" s="127"/>
      <c r="G2190" s="5"/>
    </row>
    <row r="2191" spans="2:7">
      <c r="B2191" s="5"/>
      <c r="C2191" s="5"/>
      <c r="D2191" s="125"/>
      <c r="E2191" s="126"/>
      <c r="F2191" s="127"/>
      <c r="G2191" s="5"/>
    </row>
    <row r="2192" spans="2:7">
      <c r="B2192" s="5"/>
      <c r="C2192" s="5"/>
      <c r="D2192" s="125"/>
      <c r="E2192" s="126"/>
      <c r="F2192" s="127"/>
      <c r="G2192" s="5"/>
    </row>
    <row r="2193" spans="2:7">
      <c r="B2193" s="5"/>
      <c r="C2193" s="5"/>
      <c r="D2193" s="125"/>
      <c r="E2193" s="126"/>
      <c r="F2193" s="127"/>
      <c r="G2193" s="5"/>
    </row>
    <row r="2194" spans="2:7">
      <c r="B2194" s="5"/>
      <c r="C2194" s="5"/>
      <c r="D2194" s="125"/>
      <c r="E2194" s="126"/>
      <c r="F2194" s="127"/>
      <c r="G2194" s="5"/>
    </row>
    <row r="2195" spans="2:7">
      <c r="B2195" s="5"/>
      <c r="C2195" s="5"/>
      <c r="D2195" s="125"/>
      <c r="E2195" s="126"/>
      <c r="F2195" s="127"/>
      <c r="G2195" s="5"/>
    </row>
    <row r="2196" spans="2:7">
      <c r="B2196" s="5"/>
      <c r="C2196" s="5"/>
      <c r="D2196" s="125"/>
      <c r="E2196" s="126"/>
      <c r="F2196" s="127"/>
      <c r="G2196" s="5"/>
    </row>
    <row r="2197" spans="2:7">
      <c r="B2197" s="5"/>
      <c r="C2197" s="5"/>
      <c r="D2197" s="125"/>
      <c r="E2197" s="126"/>
      <c r="F2197" s="127"/>
      <c r="G2197" s="5"/>
    </row>
    <row r="2198" spans="2:7">
      <c r="B2198" s="5"/>
      <c r="C2198" s="5"/>
      <c r="D2198" s="125"/>
      <c r="E2198" s="126"/>
      <c r="F2198" s="127"/>
      <c r="G2198" s="5"/>
    </row>
    <row r="2199" spans="2:7">
      <c r="B2199" s="5"/>
      <c r="C2199" s="5"/>
      <c r="D2199" s="125"/>
      <c r="E2199" s="126"/>
      <c r="F2199" s="127"/>
      <c r="G2199" s="5"/>
    </row>
    <row r="2200" spans="2:7">
      <c r="B2200" s="5"/>
      <c r="C2200" s="5"/>
      <c r="D2200" s="125"/>
      <c r="E2200" s="126"/>
      <c r="F2200" s="127"/>
      <c r="G2200" s="5"/>
    </row>
    <row r="2201" spans="2:7">
      <c r="B2201" s="5"/>
      <c r="C2201" s="5"/>
      <c r="D2201" s="125"/>
      <c r="E2201" s="126"/>
      <c r="F2201" s="127"/>
      <c r="G2201" s="5"/>
    </row>
    <row r="2202" spans="2:7">
      <c r="B2202" s="5"/>
      <c r="C2202" s="5"/>
      <c r="D2202" s="125"/>
      <c r="E2202" s="126"/>
      <c r="F2202" s="127"/>
      <c r="G2202" s="5"/>
    </row>
    <row r="2203" spans="2:7">
      <c r="B2203" s="5"/>
      <c r="C2203" s="5"/>
      <c r="D2203" s="125"/>
      <c r="E2203" s="126"/>
      <c r="F2203" s="127"/>
      <c r="G2203" s="5"/>
    </row>
    <row r="2204" spans="2:7">
      <c r="B2204" s="5"/>
      <c r="C2204" s="5"/>
      <c r="D2204" s="125"/>
      <c r="E2204" s="126"/>
      <c r="F2204" s="127"/>
      <c r="G2204" s="5"/>
    </row>
    <row r="2205" spans="2:7">
      <c r="B2205" s="5"/>
      <c r="C2205" s="5"/>
      <c r="D2205" s="125"/>
      <c r="E2205" s="126"/>
      <c r="F2205" s="127"/>
      <c r="G2205" s="5"/>
    </row>
    <row r="2206" spans="2:7">
      <c r="B2206" s="5"/>
      <c r="C2206" s="5"/>
      <c r="D2206" s="125"/>
      <c r="E2206" s="126"/>
      <c r="F2206" s="127"/>
      <c r="G2206" s="5"/>
    </row>
    <row r="2207" spans="2:7">
      <c r="B2207" s="5"/>
      <c r="C2207" s="5"/>
      <c r="D2207" s="125"/>
      <c r="E2207" s="126"/>
      <c r="F2207" s="127"/>
      <c r="G2207" s="5"/>
    </row>
    <row r="2208" spans="2:7">
      <c r="B2208" s="5"/>
      <c r="C2208" s="5"/>
      <c r="D2208" s="125"/>
      <c r="E2208" s="126"/>
      <c r="F2208" s="127"/>
      <c r="G2208" s="5"/>
    </row>
    <row r="2209" spans="2:7">
      <c r="B2209" s="5"/>
      <c r="C2209" s="5"/>
      <c r="D2209" s="125"/>
      <c r="E2209" s="126"/>
      <c r="F2209" s="127"/>
      <c r="G2209" s="5"/>
    </row>
  </sheetData>
  <sortState xmlns:xlrd2="http://schemas.microsoft.com/office/spreadsheetml/2017/richdata2" ref="B788:F792">
    <sortCondition ref="B788:B792"/>
  </sortState>
  <mergeCells count="84">
    <mergeCell ref="A355:A357"/>
    <mergeCell ref="A323:A325"/>
    <mergeCell ref="A326:A327"/>
    <mergeCell ref="A330:A331"/>
    <mergeCell ref="A349:A351"/>
    <mergeCell ref="A352:A354"/>
    <mergeCell ref="A180:A184"/>
    <mergeCell ref="A189:A191"/>
    <mergeCell ref="A262:A264"/>
    <mergeCell ref="A308:A310"/>
    <mergeCell ref="A314:A316"/>
    <mergeCell ref="B7:E7"/>
    <mergeCell ref="B518:E518"/>
    <mergeCell ref="B2:F4"/>
    <mergeCell ref="C6:D6"/>
    <mergeCell ref="B610:E610"/>
    <mergeCell ref="B521:E521"/>
    <mergeCell ref="B283:E283"/>
    <mergeCell ref="B12:E12"/>
    <mergeCell ref="B320:E320"/>
    <mergeCell ref="B307:E307"/>
    <mergeCell ref="B438:E438"/>
    <mergeCell ref="B115:E115"/>
    <mergeCell ref="B208:E208"/>
    <mergeCell ref="B178:E178"/>
    <mergeCell ref="B537:E537"/>
    <mergeCell ref="B367:E367"/>
    <mergeCell ref="B587:E587"/>
    <mergeCell ref="B594:E594"/>
    <mergeCell ref="B827:E827"/>
    <mergeCell ref="B244:E244"/>
    <mergeCell ref="B798:E798"/>
    <mergeCell ref="B695:E695"/>
    <mergeCell ref="B714:E714"/>
    <mergeCell ref="B726:E726"/>
    <mergeCell ref="B787:E787"/>
    <mergeCell ref="B793:E793"/>
    <mergeCell ref="B48:E48"/>
    <mergeCell ref="B71:E71"/>
    <mergeCell ref="B83:E83"/>
    <mergeCell ref="B109:E109"/>
    <mergeCell ref="B340:E340"/>
    <mergeCell ref="B237:E237"/>
    <mergeCell ref="B916:E916"/>
    <mergeCell ref="B1011:E1011"/>
    <mergeCell ref="B730:E730"/>
    <mergeCell ref="B775:E775"/>
    <mergeCell ref="B747:E747"/>
    <mergeCell ref="B755:E755"/>
    <mergeCell ref="B765:E765"/>
    <mergeCell ref="B858:E858"/>
    <mergeCell ref="B960:E960"/>
    <mergeCell ref="B842:C842"/>
    <mergeCell ref="A964:A967"/>
    <mergeCell ref="B580:E580"/>
    <mergeCell ref="B564:E564"/>
    <mergeCell ref="C1866:G1866"/>
    <mergeCell ref="B1005:E1005"/>
    <mergeCell ref="B832:E832"/>
    <mergeCell ref="B852:E852"/>
    <mergeCell ref="B911:E911"/>
    <mergeCell ref="B850:E850"/>
    <mergeCell ref="B963:E963"/>
    <mergeCell ref="B1000:E1000"/>
    <mergeCell ref="B907:E907"/>
    <mergeCell ref="B867:E867"/>
    <mergeCell ref="B886:E886"/>
    <mergeCell ref="B1680:E1680"/>
    <mergeCell ref="A976:A979"/>
    <mergeCell ref="A124:A130"/>
    <mergeCell ref="B456:E456"/>
    <mergeCell ref="B461:E461"/>
    <mergeCell ref="B483:E483"/>
    <mergeCell ref="B489:E489"/>
    <mergeCell ref="B608:C608"/>
    <mergeCell ref="B298:E298"/>
    <mergeCell ref="B808:E808"/>
    <mergeCell ref="B679:E679"/>
    <mergeCell ref="B686:E686"/>
    <mergeCell ref="B513:E513"/>
    <mergeCell ref="B599:E599"/>
    <mergeCell ref="B919:E919"/>
    <mergeCell ref="B946:E946"/>
    <mergeCell ref="B804:E804"/>
  </mergeCells>
  <phoneticPr fontId="3" type="noConversion"/>
  <pageMargins left="0.7" right="0.7" top="0.75" bottom="0.75" header="0.3" footer="0.3"/>
  <pageSetup paperSize="9" scale="48" orientation="landscape" r:id="rId1"/>
  <colBreaks count="1" manualBreakCount="1">
    <brk id="7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2A00-4F69-C941-85EC-5EA5AB7FB78F}">
  <dimension ref="A1:E22"/>
  <sheetViews>
    <sheetView workbookViewId="0">
      <selection activeCell="H13" sqref="H13"/>
    </sheetView>
  </sheetViews>
  <sheetFormatPr baseColWidth="10" defaultRowHeight="15"/>
  <cols>
    <col min="1" max="1" width="41.28515625" customWidth="1"/>
    <col min="2" max="2" width="15.85546875" customWidth="1"/>
    <col min="3" max="3" width="13.85546875" customWidth="1"/>
    <col min="4" max="4" width="29.28515625" customWidth="1"/>
  </cols>
  <sheetData>
    <row r="1" spans="1:5">
      <c r="A1" s="64" t="s">
        <v>354</v>
      </c>
      <c r="B1" s="64" t="s">
        <v>1534</v>
      </c>
      <c r="C1" s="64" t="s">
        <v>371</v>
      </c>
      <c r="D1" s="64" t="s">
        <v>1536</v>
      </c>
      <c r="E1" s="2"/>
    </row>
    <row r="2" spans="1:5">
      <c r="A2" s="2" t="s">
        <v>1535</v>
      </c>
      <c r="B2" s="2" t="s">
        <v>1537</v>
      </c>
      <c r="C2" s="2">
        <v>20</v>
      </c>
      <c r="D2" s="2" t="s">
        <v>1538</v>
      </c>
      <c r="E2" s="2"/>
    </row>
    <row r="3" spans="1:5">
      <c r="A3" s="2" t="s">
        <v>1535</v>
      </c>
      <c r="B3" s="2" t="s">
        <v>1537</v>
      </c>
      <c r="C3" s="2">
        <v>8</v>
      </c>
      <c r="D3" s="2" t="s">
        <v>1539</v>
      </c>
      <c r="E3" s="2"/>
    </row>
    <row r="4" spans="1:5">
      <c r="A4" s="2" t="s">
        <v>1535</v>
      </c>
      <c r="B4" s="2" t="s">
        <v>1537</v>
      </c>
      <c r="C4" s="2">
        <v>2</v>
      </c>
      <c r="D4" s="2" t="s">
        <v>1540</v>
      </c>
      <c r="E4" s="2"/>
    </row>
    <row r="5" spans="1:5">
      <c r="A5" s="2" t="s">
        <v>1535</v>
      </c>
      <c r="B5" s="2" t="s">
        <v>1537</v>
      </c>
      <c r="C5" s="2">
        <v>1</v>
      </c>
      <c r="D5" s="2" t="s">
        <v>1541</v>
      </c>
      <c r="E5" s="2"/>
    </row>
    <row r="6" spans="1:5">
      <c r="A6" s="2" t="s">
        <v>1535</v>
      </c>
      <c r="B6" s="2" t="s">
        <v>1537</v>
      </c>
      <c r="C6" s="2">
        <v>7</v>
      </c>
      <c r="D6" s="2" t="s">
        <v>1542</v>
      </c>
      <c r="E6" s="2"/>
    </row>
    <row r="7" spans="1:5">
      <c r="A7" s="2" t="s">
        <v>1535</v>
      </c>
      <c r="B7" s="2" t="s">
        <v>1537</v>
      </c>
      <c r="C7" s="2">
        <v>1</v>
      </c>
      <c r="D7" s="2" t="s">
        <v>1543</v>
      </c>
      <c r="E7" s="2"/>
    </row>
    <row r="8" spans="1:5">
      <c r="A8" s="2" t="s">
        <v>1535</v>
      </c>
      <c r="B8" s="2" t="s">
        <v>1537</v>
      </c>
      <c r="C8" s="2">
        <v>2</v>
      </c>
      <c r="D8" s="2" t="s">
        <v>1544</v>
      </c>
      <c r="E8" s="2"/>
    </row>
    <row r="9" spans="1:5">
      <c r="A9" s="2" t="s">
        <v>1535</v>
      </c>
      <c r="B9" s="2" t="s">
        <v>1537</v>
      </c>
      <c r="C9" s="2">
        <v>1</v>
      </c>
      <c r="D9" s="2" t="s">
        <v>1545</v>
      </c>
      <c r="E9" s="2"/>
    </row>
    <row r="10" spans="1:5">
      <c r="A10" s="2" t="s">
        <v>1535</v>
      </c>
      <c r="B10" s="2" t="s">
        <v>1537</v>
      </c>
      <c r="C10" s="2">
        <v>2</v>
      </c>
      <c r="D10" s="2" t="s">
        <v>1546</v>
      </c>
      <c r="E10" s="2"/>
    </row>
    <row r="11" spans="1:5">
      <c r="A11" s="2" t="s">
        <v>1535</v>
      </c>
      <c r="B11" s="2" t="s">
        <v>1537</v>
      </c>
      <c r="C11" s="2">
        <v>15</v>
      </c>
      <c r="D11" s="2" t="s">
        <v>1548</v>
      </c>
      <c r="E11" s="2"/>
    </row>
    <row r="12" spans="1:5">
      <c r="A12" s="2" t="s">
        <v>1535</v>
      </c>
      <c r="B12" s="2" t="s">
        <v>1537</v>
      </c>
      <c r="C12" s="2">
        <v>1</v>
      </c>
      <c r="D12" s="2" t="s">
        <v>1547</v>
      </c>
      <c r="E12" s="2"/>
    </row>
    <row r="13" spans="1:5">
      <c r="A13" s="2" t="s">
        <v>1535</v>
      </c>
      <c r="B13" s="2" t="s">
        <v>1549</v>
      </c>
      <c r="C13" s="2">
        <v>2</v>
      </c>
      <c r="D13" s="2" t="s">
        <v>1550</v>
      </c>
      <c r="E13" s="2"/>
    </row>
    <row r="14" spans="1:5">
      <c r="A14" s="2" t="s">
        <v>1535</v>
      </c>
      <c r="B14" s="2" t="s">
        <v>1382</v>
      </c>
      <c r="C14" s="2">
        <v>3</v>
      </c>
      <c r="D14" s="2" t="s">
        <v>1551</v>
      </c>
      <c r="E14" s="2"/>
    </row>
    <row r="15" spans="1:5">
      <c r="A15" s="2" t="s">
        <v>1552</v>
      </c>
      <c r="B15" s="2" t="s">
        <v>523</v>
      </c>
      <c r="C15" s="2">
        <v>1</v>
      </c>
      <c r="D15" s="2" t="s">
        <v>1553</v>
      </c>
      <c r="E15" s="2"/>
    </row>
    <row r="16" spans="1:5">
      <c r="A16" s="2" t="s">
        <v>1552</v>
      </c>
      <c r="B16" s="2" t="s">
        <v>521</v>
      </c>
      <c r="C16" s="2">
        <v>1</v>
      </c>
      <c r="D16" s="2" t="s">
        <v>1554</v>
      </c>
      <c r="E16" s="2"/>
    </row>
    <row r="17" spans="1:5">
      <c r="A17" s="2" t="s">
        <v>1552</v>
      </c>
      <c r="B17" s="2" t="s">
        <v>509</v>
      </c>
      <c r="C17" s="2">
        <v>1</v>
      </c>
      <c r="D17" s="2" t="s">
        <v>1567</v>
      </c>
      <c r="E17" s="242">
        <v>1</v>
      </c>
    </row>
    <row r="18" spans="1:5">
      <c r="A18" s="2" t="s">
        <v>1555</v>
      </c>
      <c r="B18" s="2" t="s">
        <v>1352</v>
      </c>
      <c r="C18" s="2">
        <v>1</v>
      </c>
      <c r="D18" s="2" t="s">
        <v>1556</v>
      </c>
      <c r="E18" s="2"/>
    </row>
    <row r="19" spans="1:5">
      <c r="A19" s="242" t="s">
        <v>1557</v>
      </c>
      <c r="B19" s="2" t="s">
        <v>1352</v>
      </c>
      <c r="C19" s="2">
        <v>1</v>
      </c>
      <c r="D19" s="2"/>
      <c r="E19" s="2"/>
    </row>
    <row r="20" spans="1:5">
      <c r="A20" s="242" t="s">
        <v>1568</v>
      </c>
      <c r="B20" s="2" t="s">
        <v>1537</v>
      </c>
      <c r="C20" s="2">
        <v>4</v>
      </c>
      <c r="D20" s="2"/>
      <c r="E20" s="2"/>
    </row>
    <row r="21" spans="1:5">
      <c r="A21" s="2" t="s">
        <v>1569</v>
      </c>
      <c r="B21" s="2" t="s">
        <v>173</v>
      </c>
      <c r="C21" s="2">
        <v>2</v>
      </c>
      <c r="D21" s="2"/>
      <c r="E21" s="2"/>
    </row>
    <row r="22" spans="1:5">
      <c r="A22" s="2" t="s">
        <v>1572</v>
      </c>
      <c r="B22" s="2" t="s">
        <v>1571</v>
      </c>
      <c r="C22" s="2">
        <v>2</v>
      </c>
      <c r="D22" s="2" t="s">
        <v>1570</v>
      </c>
      <c r="E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FADB-1A7F-4CF0-9CA5-26EF00863D08}">
  <sheetPr>
    <tabColor theme="4" tint="-0.249977111117893"/>
  </sheetPr>
  <dimension ref="B2:C10"/>
  <sheetViews>
    <sheetView workbookViewId="0">
      <selection activeCell="C3" sqref="C3"/>
    </sheetView>
  </sheetViews>
  <sheetFormatPr baseColWidth="10" defaultRowHeight="15"/>
  <cols>
    <col min="2" max="2" width="23.140625" bestFit="1" customWidth="1"/>
  </cols>
  <sheetData>
    <row r="2" spans="2:3">
      <c r="B2" s="331" t="s">
        <v>682</v>
      </c>
      <c r="C2" s="331"/>
    </row>
    <row r="3" spans="2:3">
      <c r="B3" s="2" t="s">
        <v>689</v>
      </c>
      <c r="C3" s="2">
        <v>7</v>
      </c>
    </row>
    <row r="4" spans="2:3">
      <c r="B4" s="2" t="s">
        <v>683</v>
      </c>
      <c r="C4" s="2">
        <v>5</v>
      </c>
    </row>
    <row r="5" spans="2:3">
      <c r="B5" s="2" t="s">
        <v>684</v>
      </c>
      <c r="C5" s="2">
        <v>10</v>
      </c>
    </row>
    <row r="6" spans="2:3">
      <c r="B6" s="2" t="s">
        <v>685</v>
      </c>
      <c r="C6" s="2">
        <v>24</v>
      </c>
    </row>
    <row r="7" spans="2:3">
      <c r="B7" s="2" t="s">
        <v>686</v>
      </c>
      <c r="C7" s="2">
        <v>5</v>
      </c>
    </row>
    <row r="9" spans="2:3">
      <c r="B9" s="331" t="s">
        <v>687</v>
      </c>
      <c r="C9" s="331"/>
    </row>
    <row r="10" spans="2:3">
      <c r="B10" s="2" t="s">
        <v>685</v>
      </c>
      <c r="C10" s="2">
        <v>5</v>
      </c>
    </row>
  </sheetData>
  <mergeCells count="2">
    <mergeCell ref="B2:C2"/>
    <mergeCell ref="B9:C9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ACA7-B96A-D24A-BBAA-A44A3FA504FF}">
  <sheetPr>
    <tabColor theme="4" tint="0.39997558519241921"/>
  </sheetPr>
  <dimension ref="A1:E26"/>
  <sheetViews>
    <sheetView topLeftCell="A5" workbookViewId="0">
      <selection activeCell="G18" sqref="G18"/>
    </sheetView>
  </sheetViews>
  <sheetFormatPr baseColWidth="10" defaultRowHeight="15"/>
  <cols>
    <col min="1" max="1" width="41" customWidth="1"/>
    <col min="2" max="2" width="12.42578125" bestFit="1" customWidth="1"/>
  </cols>
  <sheetData>
    <row r="1" spans="1:2">
      <c r="A1" s="95" t="s">
        <v>409</v>
      </c>
      <c r="B1" s="95" t="s">
        <v>371</v>
      </c>
    </row>
    <row r="2" spans="1:2">
      <c r="A2" s="2" t="s">
        <v>397</v>
      </c>
      <c r="B2" s="10">
        <v>1</v>
      </c>
    </row>
    <row r="3" spans="1:2">
      <c r="A3" s="2" t="s">
        <v>396</v>
      </c>
      <c r="B3" s="10">
        <v>2</v>
      </c>
    </row>
    <row r="4" spans="1:2">
      <c r="A4" s="2" t="s">
        <v>398</v>
      </c>
      <c r="B4" s="10">
        <v>6</v>
      </c>
    </row>
    <row r="5" spans="1:2">
      <c r="A5" s="2" t="s">
        <v>399</v>
      </c>
      <c r="B5" s="10">
        <v>1</v>
      </c>
    </row>
    <row r="6" spans="1:2">
      <c r="A6" s="2" t="s">
        <v>400</v>
      </c>
      <c r="B6" s="10"/>
    </row>
    <row r="7" spans="1:2">
      <c r="A7" s="2" t="s">
        <v>401</v>
      </c>
      <c r="B7" s="10">
        <v>1000</v>
      </c>
    </row>
    <row r="8" spans="1:2">
      <c r="A8" s="2" t="s">
        <v>402</v>
      </c>
      <c r="B8" s="10">
        <v>1</v>
      </c>
    </row>
    <row r="9" spans="1:2">
      <c r="A9" s="2" t="s">
        <v>403</v>
      </c>
      <c r="B9" s="10">
        <v>2</v>
      </c>
    </row>
    <row r="10" spans="1:2">
      <c r="A10" s="2" t="s">
        <v>404</v>
      </c>
      <c r="B10" s="10">
        <v>1</v>
      </c>
    </row>
    <row r="11" spans="1:2">
      <c r="A11" s="2" t="s">
        <v>405</v>
      </c>
      <c r="B11" s="10">
        <v>1</v>
      </c>
    </row>
    <row r="12" spans="1:2">
      <c r="A12" s="2" t="s">
        <v>406</v>
      </c>
      <c r="B12" s="10">
        <v>1</v>
      </c>
    </row>
    <row r="13" spans="1:2">
      <c r="A13" s="2" t="s">
        <v>407</v>
      </c>
      <c r="B13" s="10">
        <v>2</v>
      </c>
    </row>
    <row r="14" spans="1:2">
      <c r="A14" s="2" t="s">
        <v>408</v>
      </c>
      <c r="B14" s="10">
        <v>1</v>
      </c>
    </row>
    <row r="15" spans="1:2">
      <c r="A15" s="2" t="s">
        <v>451</v>
      </c>
      <c r="B15" s="10">
        <v>2</v>
      </c>
    </row>
    <row r="17" spans="1:5">
      <c r="A17" s="2" t="s">
        <v>413</v>
      </c>
      <c r="B17" s="10">
        <v>6</v>
      </c>
    </row>
    <row r="18" spans="1:5">
      <c r="A18" s="2" t="s">
        <v>412</v>
      </c>
      <c r="B18" s="10">
        <v>2</v>
      </c>
    </row>
    <row r="19" spans="1:5">
      <c r="A19" s="2" t="s">
        <v>414</v>
      </c>
      <c r="B19" s="10">
        <v>2</v>
      </c>
    </row>
    <row r="20" spans="1:5">
      <c r="A20" s="2" t="s">
        <v>418</v>
      </c>
      <c r="B20" s="10" t="s">
        <v>419</v>
      </c>
    </row>
    <row r="21" spans="1:5">
      <c r="A21" s="2" t="s">
        <v>415</v>
      </c>
      <c r="B21" s="10" t="s">
        <v>416</v>
      </c>
    </row>
    <row r="22" spans="1:5">
      <c r="A22" s="2" t="s">
        <v>417</v>
      </c>
      <c r="B22" s="10"/>
    </row>
    <row r="23" spans="1:5">
      <c r="A23" s="2" t="s">
        <v>420</v>
      </c>
      <c r="B23" s="10">
        <v>1</v>
      </c>
    </row>
    <row r="24" spans="1:5" ht="15.75" thickBot="1">
      <c r="A24" s="70" t="s">
        <v>421</v>
      </c>
      <c r="B24" s="71"/>
    </row>
    <row r="25" spans="1:5">
      <c r="A25" s="68" t="s">
        <v>250</v>
      </c>
      <c r="B25" s="67" t="s">
        <v>251</v>
      </c>
      <c r="C25" s="17">
        <v>3</v>
      </c>
      <c r="D25" s="18" t="s">
        <v>205</v>
      </c>
      <c r="E25" s="67"/>
    </row>
    <row r="26" spans="1:5">
      <c r="A26" s="68" t="s">
        <v>250</v>
      </c>
      <c r="B26" s="67" t="s">
        <v>252</v>
      </c>
      <c r="C26" s="17">
        <v>2</v>
      </c>
      <c r="D26" s="18" t="s">
        <v>205</v>
      </c>
      <c r="E26" s="67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99FA-86D2-4259-8495-7D332EC973B7}">
  <sheetPr>
    <tabColor theme="9" tint="0.39997558519241921"/>
  </sheetPr>
  <dimension ref="A1:D23"/>
  <sheetViews>
    <sheetView workbookViewId="0">
      <selection activeCell="A3" sqref="A3"/>
    </sheetView>
  </sheetViews>
  <sheetFormatPr baseColWidth="10" defaultRowHeight="15"/>
  <cols>
    <col min="1" max="1" width="53" bestFit="1" customWidth="1"/>
    <col min="2" max="2" width="11.7109375" bestFit="1" customWidth="1"/>
    <col min="3" max="3" width="24.140625" bestFit="1" customWidth="1"/>
    <col min="4" max="4" width="8.140625" bestFit="1" customWidth="1"/>
  </cols>
  <sheetData>
    <row r="1" spans="1:4" ht="15.75">
      <c r="A1" s="78" t="s">
        <v>590</v>
      </c>
      <c r="B1" s="332" t="s">
        <v>591</v>
      </c>
      <c r="C1" s="333"/>
    </row>
    <row r="2" spans="1:4" ht="16.5" thickBot="1">
      <c r="A2" s="79" t="s">
        <v>354</v>
      </c>
      <c r="B2" s="80" t="s">
        <v>371</v>
      </c>
      <c r="C2" s="81" t="s">
        <v>592</v>
      </c>
      <c r="D2" s="80" t="s">
        <v>593</v>
      </c>
    </row>
    <row r="3" spans="1:4">
      <c r="A3" s="72" t="s">
        <v>594</v>
      </c>
      <c r="B3" s="82">
        <v>7</v>
      </c>
      <c r="C3" s="83" t="s">
        <v>595</v>
      </c>
      <c r="D3" s="84">
        <v>0</v>
      </c>
    </row>
    <row r="4" spans="1:4">
      <c r="A4" s="69" t="s">
        <v>596</v>
      </c>
      <c r="B4">
        <v>1</v>
      </c>
      <c r="C4" s="85" t="s">
        <v>597</v>
      </c>
      <c r="D4" s="84">
        <v>7490</v>
      </c>
    </row>
    <row r="5" spans="1:4">
      <c r="A5" s="69" t="s">
        <v>598</v>
      </c>
      <c r="B5">
        <v>100</v>
      </c>
      <c r="C5" s="86"/>
      <c r="D5" s="86">
        <v>5500</v>
      </c>
    </row>
    <row r="6" spans="1:4" ht="15.75" thickBot="1">
      <c r="A6" s="70" t="s">
        <v>599</v>
      </c>
      <c r="B6" s="87"/>
      <c r="C6" s="71"/>
    </row>
    <row r="7" spans="1:4" ht="16.5" thickBot="1">
      <c r="A7" s="334" t="s">
        <v>600</v>
      </c>
      <c r="B7" s="335"/>
      <c r="C7" s="336"/>
    </row>
    <row r="8" spans="1:4">
      <c r="A8" s="69" t="s">
        <v>594</v>
      </c>
      <c r="B8">
        <v>8</v>
      </c>
      <c r="C8" s="85"/>
    </row>
    <row r="9" spans="1:4">
      <c r="A9" s="69" t="s">
        <v>596</v>
      </c>
      <c r="B9">
        <v>2</v>
      </c>
      <c r="C9" s="85"/>
    </row>
    <row r="10" spans="1:4">
      <c r="A10" s="69" t="s">
        <v>598</v>
      </c>
      <c r="B10">
        <v>200</v>
      </c>
      <c r="C10" s="85"/>
    </row>
    <row r="11" spans="1:4">
      <c r="A11" s="69" t="s">
        <v>599</v>
      </c>
      <c r="C11" s="85"/>
    </row>
    <row r="12" spans="1:4">
      <c r="A12" s="69"/>
      <c r="C12" s="85"/>
    </row>
    <row r="13" spans="1:4">
      <c r="A13" s="69"/>
      <c r="C13" s="85"/>
    </row>
    <row r="14" spans="1:4" ht="15.75" thickBot="1">
      <c r="A14" s="70"/>
      <c r="B14" s="87"/>
      <c r="C14" s="71"/>
    </row>
    <row r="16" spans="1:4" ht="15.75" thickBot="1"/>
    <row r="17" spans="1:3">
      <c r="A17" s="72" t="s">
        <v>601</v>
      </c>
      <c r="B17" s="82">
        <v>15000</v>
      </c>
      <c r="C17" s="83"/>
    </row>
    <row r="18" spans="1:3">
      <c r="A18" s="69" t="s">
        <v>602</v>
      </c>
      <c r="B18" s="88">
        <v>25000</v>
      </c>
      <c r="C18" s="85"/>
    </row>
    <row r="19" spans="1:3" ht="15.75" thickBot="1">
      <c r="A19" s="70" t="s">
        <v>603</v>
      </c>
      <c r="B19" s="87">
        <v>3000</v>
      </c>
      <c r="C19" s="71"/>
    </row>
    <row r="22" spans="1:3">
      <c r="A22" t="s">
        <v>741</v>
      </c>
    </row>
    <row r="23" spans="1:3">
      <c r="A23" t="s">
        <v>742</v>
      </c>
      <c r="B23">
        <v>600</v>
      </c>
    </row>
  </sheetData>
  <mergeCells count="2">
    <mergeCell ref="B1:C1"/>
    <mergeCell ref="A7:C7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E474-70F2-48CF-8289-F5658CF5C923}">
  <sheetPr>
    <tabColor theme="6" tint="0.39997558519241921"/>
  </sheetPr>
  <dimension ref="A1:E26"/>
  <sheetViews>
    <sheetView workbookViewId="0">
      <selection activeCell="C15" sqref="C15"/>
    </sheetView>
  </sheetViews>
  <sheetFormatPr baseColWidth="10" defaultRowHeight="15"/>
  <cols>
    <col min="1" max="1" width="38.42578125" bestFit="1" customWidth="1"/>
    <col min="2" max="2" width="27" customWidth="1"/>
    <col min="3" max="3" width="17.42578125" customWidth="1"/>
    <col min="4" max="5" width="14" customWidth="1"/>
  </cols>
  <sheetData>
    <row r="1" spans="1:5">
      <c r="A1" t="s">
        <v>673</v>
      </c>
    </row>
    <row r="2" spans="1:5">
      <c r="A2" t="s">
        <v>674</v>
      </c>
    </row>
    <row r="3" spans="1:5">
      <c r="A3" t="s">
        <v>675</v>
      </c>
    </row>
    <row r="5" spans="1:5">
      <c r="A5" s="337" t="s">
        <v>1453</v>
      </c>
      <c r="B5" s="338"/>
      <c r="C5" s="338"/>
      <c r="D5" s="339"/>
    </row>
    <row r="6" spans="1:5">
      <c r="A6" s="64" t="s">
        <v>1428</v>
      </c>
      <c r="B6" s="64" t="s">
        <v>371</v>
      </c>
      <c r="C6" s="64" t="s">
        <v>1447</v>
      </c>
      <c r="D6" s="64" t="s">
        <v>1448</v>
      </c>
    </row>
    <row r="7" spans="1:5">
      <c r="A7" s="2" t="s">
        <v>1430</v>
      </c>
      <c r="B7" s="2">
        <v>1</v>
      </c>
      <c r="C7" s="241">
        <v>80000</v>
      </c>
      <c r="D7" s="241">
        <v>80000</v>
      </c>
    </row>
    <row r="8" spans="1:5">
      <c r="A8" s="2" t="s">
        <v>1426</v>
      </c>
      <c r="B8" s="10" t="s">
        <v>1427</v>
      </c>
      <c r="C8" s="243">
        <v>6300</v>
      </c>
      <c r="D8" s="243">
        <v>12600</v>
      </c>
    </row>
    <row r="9" spans="1:5">
      <c r="A9" s="2" t="s">
        <v>1446</v>
      </c>
      <c r="B9" s="10" t="s">
        <v>1445</v>
      </c>
      <c r="C9" s="243">
        <v>6000</v>
      </c>
      <c r="D9" s="243">
        <v>6000</v>
      </c>
    </row>
    <row r="10" spans="1:5">
      <c r="A10" s="103" t="s">
        <v>1429</v>
      </c>
      <c r="B10" s="10" t="s">
        <v>1455</v>
      </c>
      <c r="C10" s="243">
        <v>3000</v>
      </c>
      <c r="D10" s="243">
        <v>3000</v>
      </c>
    </row>
    <row r="11" spans="1:5">
      <c r="A11" s="2" t="s">
        <v>1449</v>
      </c>
      <c r="B11" s="10" t="s">
        <v>1450</v>
      </c>
      <c r="C11" s="243">
        <v>4000</v>
      </c>
      <c r="D11" s="243">
        <v>4000</v>
      </c>
    </row>
    <row r="12" spans="1:5">
      <c r="A12" s="2" t="s">
        <v>1441</v>
      </c>
      <c r="B12" s="10" t="s">
        <v>1456</v>
      </c>
      <c r="C12" s="243">
        <v>3000</v>
      </c>
      <c r="D12" s="243">
        <v>3000</v>
      </c>
    </row>
    <row r="13" spans="1:5">
      <c r="A13" s="103" t="s">
        <v>1431</v>
      </c>
      <c r="B13" s="10" t="s">
        <v>1454</v>
      </c>
      <c r="C13" s="243">
        <v>16000</v>
      </c>
      <c r="D13" s="243">
        <v>16000</v>
      </c>
    </row>
    <row r="14" spans="1:5">
      <c r="A14" s="2" t="s">
        <v>1436</v>
      </c>
      <c r="B14" s="10" t="s">
        <v>1452</v>
      </c>
      <c r="C14" s="243">
        <v>13000</v>
      </c>
      <c r="D14" s="243">
        <v>52000</v>
      </c>
      <c r="E14">
        <v>52000</v>
      </c>
    </row>
    <row r="15" spans="1:5">
      <c r="A15" s="2" t="s">
        <v>1439</v>
      </c>
      <c r="B15" s="10" t="s">
        <v>1451</v>
      </c>
      <c r="C15" s="243">
        <v>9100</v>
      </c>
      <c r="D15" s="243">
        <v>18200</v>
      </c>
      <c r="E15">
        <v>18200</v>
      </c>
    </row>
    <row r="16" spans="1:5">
      <c r="A16" s="2" t="s">
        <v>1432</v>
      </c>
      <c r="B16" s="10">
        <v>1</v>
      </c>
      <c r="C16" s="243">
        <v>10000</v>
      </c>
      <c r="D16" s="243">
        <v>10000</v>
      </c>
    </row>
    <row r="17" spans="1:4">
      <c r="A17" s="2" t="s">
        <v>1433</v>
      </c>
      <c r="B17" s="10">
        <v>1</v>
      </c>
      <c r="C17" s="243">
        <v>18000</v>
      </c>
      <c r="D17" s="243">
        <v>18000</v>
      </c>
    </row>
    <row r="18" spans="1:4">
      <c r="A18" s="242" t="s">
        <v>1434</v>
      </c>
      <c r="B18" s="10">
        <v>1</v>
      </c>
      <c r="C18" s="243">
        <v>30000</v>
      </c>
      <c r="D18" s="243">
        <v>30000</v>
      </c>
    </row>
    <row r="19" spans="1:4">
      <c r="A19" s="2" t="s">
        <v>1437</v>
      </c>
      <c r="B19" s="10">
        <v>1</v>
      </c>
      <c r="C19" s="243">
        <v>12000</v>
      </c>
      <c r="D19" s="243">
        <v>12000</v>
      </c>
    </row>
    <row r="20" spans="1:4">
      <c r="A20" s="2" t="s">
        <v>1435</v>
      </c>
      <c r="B20" s="10">
        <v>1</v>
      </c>
      <c r="C20" s="243">
        <v>5000</v>
      </c>
      <c r="D20" s="243">
        <v>5000</v>
      </c>
    </row>
    <row r="21" spans="1:4">
      <c r="A21" s="2" t="s">
        <v>1438</v>
      </c>
      <c r="B21" s="10">
        <v>1</v>
      </c>
      <c r="C21" s="243">
        <v>5000</v>
      </c>
      <c r="D21" s="243">
        <v>5000</v>
      </c>
    </row>
    <row r="22" spans="1:4">
      <c r="A22" s="2" t="s">
        <v>1440</v>
      </c>
      <c r="B22" s="10">
        <v>1</v>
      </c>
      <c r="C22" s="243">
        <v>10000</v>
      </c>
      <c r="D22" s="243">
        <v>10000</v>
      </c>
    </row>
    <row r="23" spans="1:4">
      <c r="A23" s="2" t="s">
        <v>1442</v>
      </c>
      <c r="B23" s="10">
        <v>1</v>
      </c>
      <c r="C23" s="243">
        <v>5000</v>
      </c>
      <c r="D23" s="243">
        <v>5000</v>
      </c>
    </row>
    <row r="24" spans="1:4">
      <c r="A24" s="2" t="s">
        <v>1443</v>
      </c>
      <c r="B24" s="10">
        <v>1</v>
      </c>
      <c r="C24" s="243">
        <v>120000</v>
      </c>
      <c r="D24" s="243">
        <v>120000</v>
      </c>
    </row>
    <row r="25" spans="1:4">
      <c r="A25" s="2" t="s">
        <v>1444</v>
      </c>
      <c r="B25" s="10">
        <v>1</v>
      </c>
      <c r="C25" s="243">
        <v>50000</v>
      </c>
      <c r="D25" s="243">
        <v>50000</v>
      </c>
    </row>
    <row r="26" spans="1:4">
      <c r="D26" s="88">
        <f>SUM(D7:D25)</f>
        <v>459800</v>
      </c>
    </row>
  </sheetData>
  <mergeCells count="1">
    <mergeCell ref="A5:D5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8750-B750-41ED-8961-958153F04110}">
  <sheetPr>
    <tabColor theme="4" tint="0.39997558519241921"/>
  </sheetPr>
  <dimension ref="B2:D4"/>
  <sheetViews>
    <sheetView workbookViewId="0">
      <selection activeCell="B10" sqref="B10"/>
    </sheetView>
  </sheetViews>
  <sheetFormatPr baseColWidth="10" defaultRowHeight="15"/>
  <cols>
    <col min="2" max="2" width="19.28515625" bestFit="1" customWidth="1"/>
  </cols>
  <sheetData>
    <row r="2" spans="2:4">
      <c r="B2" s="16" t="s">
        <v>749</v>
      </c>
      <c r="C2" s="16" t="s">
        <v>371</v>
      </c>
      <c r="D2" s="16" t="s">
        <v>750</v>
      </c>
    </row>
    <row r="3" spans="2:4">
      <c r="B3" s="2" t="s">
        <v>752</v>
      </c>
      <c r="C3" s="2" t="s">
        <v>751</v>
      </c>
      <c r="D3" s="2">
        <v>16000</v>
      </c>
    </row>
    <row r="4" spans="2:4">
      <c r="B4" s="2" t="s">
        <v>754</v>
      </c>
      <c r="C4" s="2" t="s">
        <v>753</v>
      </c>
      <c r="D4" s="2">
        <v>3500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CA45-8655-40BC-93FE-DDB790DF50F1}">
  <sheetPr>
    <tabColor theme="5" tint="0.39997558519241921"/>
  </sheetPr>
  <dimension ref="A1:J12"/>
  <sheetViews>
    <sheetView topLeftCell="A4" workbookViewId="0">
      <selection activeCell="A12" sqref="A12"/>
    </sheetView>
  </sheetViews>
  <sheetFormatPr baseColWidth="10" defaultRowHeight="15"/>
  <cols>
    <col min="1" max="1" width="38.85546875" bestFit="1" customWidth="1"/>
    <col min="3" max="3" width="14.140625" bestFit="1" customWidth="1"/>
    <col min="7" max="7" width="28.140625" bestFit="1" customWidth="1"/>
    <col min="9" max="9" width="15.85546875" bestFit="1" customWidth="1"/>
  </cols>
  <sheetData>
    <row r="1" spans="1:10">
      <c r="A1" s="16" t="s">
        <v>0</v>
      </c>
      <c r="B1" s="16" t="s">
        <v>2</v>
      </c>
      <c r="C1" s="16" t="s">
        <v>604</v>
      </c>
      <c r="D1" s="16" t="s">
        <v>605</v>
      </c>
    </row>
    <row r="2" spans="1:10">
      <c r="A2" s="2" t="s">
        <v>606</v>
      </c>
      <c r="B2" s="2">
        <v>1</v>
      </c>
      <c r="C2" s="90">
        <v>4500</v>
      </c>
      <c r="D2" s="89">
        <v>45525</v>
      </c>
      <c r="G2" s="16" t="s">
        <v>0</v>
      </c>
      <c r="H2" s="16" t="s">
        <v>2</v>
      </c>
      <c r="I2" s="16" t="s">
        <v>622</v>
      </c>
      <c r="J2" s="16" t="s">
        <v>119</v>
      </c>
    </row>
    <row r="3" spans="1:10">
      <c r="A3" s="2" t="s">
        <v>607</v>
      </c>
      <c r="B3" s="2">
        <v>1</v>
      </c>
      <c r="C3" s="90">
        <v>6500</v>
      </c>
      <c r="D3" s="89">
        <v>45525</v>
      </c>
      <c r="G3" s="2" t="s">
        <v>617</v>
      </c>
      <c r="H3" s="2">
        <v>6</v>
      </c>
      <c r="I3" s="90">
        <v>7000</v>
      </c>
      <c r="J3" s="89">
        <v>45525</v>
      </c>
    </row>
    <row r="4" spans="1:10">
      <c r="A4" s="2" t="s">
        <v>608</v>
      </c>
      <c r="B4" s="2">
        <v>1</v>
      </c>
      <c r="C4" s="90">
        <v>8500</v>
      </c>
      <c r="D4" s="89">
        <v>45525</v>
      </c>
      <c r="G4" s="2" t="s">
        <v>618</v>
      </c>
      <c r="H4" s="2">
        <v>10</v>
      </c>
      <c r="I4" s="90">
        <v>14000</v>
      </c>
      <c r="J4" s="89">
        <v>45525</v>
      </c>
    </row>
    <row r="5" spans="1:10">
      <c r="A5" s="2" t="s">
        <v>609</v>
      </c>
      <c r="B5" s="2">
        <v>1</v>
      </c>
      <c r="C5" s="90">
        <v>11800</v>
      </c>
      <c r="D5" s="89">
        <v>45525</v>
      </c>
      <c r="G5" s="2" t="s">
        <v>619</v>
      </c>
      <c r="H5" s="2">
        <v>24</v>
      </c>
      <c r="I5" s="90">
        <v>4000</v>
      </c>
      <c r="J5" s="89">
        <v>45525</v>
      </c>
    </row>
    <row r="6" spans="1:10">
      <c r="A6" s="2" t="s">
        <v>610</v>
      </c>
      <c r="B6" s="2">
        <v>1</v>
      </c>
      <c r="C6" s="90">
        <v>21500</v>
      </c>
      <c r="D6" s="89">
        <v>45525</v>
      </c>
      <c r="G6" s="2" t="s">
        <v>620</v>
      </c>
      <c r="H6" s="2">
        <v>1</v>
      </c>
      <c r="I6" s="90">
        <v>21000</v>
      </c>
      <c r="J6" s="89">
        <v>45525</v>
      </c>
    </row>
    <row r="7" spans="1:10">
      <c r="A7" s="2" t="s">
        <v>611</v>
      </c>
      <c r="B7" s="2">
        <v>1</v>
      </c>
      <c r="C7" s="90">
        <v>9000</v>
      </c>
      <c r="D7" s="89">
        <v>45525</v>
      </c>
      <c r="G7" s="2" t="s">
        <v>621</v>
      </c>
      <c r="H7" s="2">
        <v>2</v>
      </c>
      <c r="I7" s="90">
        <v>5800</v>
      </c>
      <c r="J7" s="89">
        <v>45525</v>
      </c>
    </row>
    <row r="8" spans="1:10">
      <c r="A8" s="2" t="s">
        <v>612</v>
      </c>
      <c r="B8" s="2">
        <v>1</v>
      </c>
      <c r="C8" s="90">
        <v>5800</v>
      </c>
      <c r="D8" s="89">
        <v>45525</v>
      </c>
      <c r="G8" s="2" t="s">
        <v>623</v>
      </c>
      <c r="H8" s="2">
        <v>2</v>
      </c>
      <c r="I8" s="90">
        <v>3800</v>
      </c>
      <c r="J8" s="89">
        <v>45525</v>
      </c>
    </row>
    <row r="9" spans="1:10">
      <c r="A9" s="2" t="s">
        <v>613</v>
      </c>
      <c r="B9" s="2">
        <v>1</v>
      </c>
      <c r="C9" s="90">
        <v>4500</v>
      </c>
      <c r="D9" s="89">
        <v>45525</v>
      </c>
    </row>
    <row r="10" spans="1:10">
      <c r="A10" s="2" t="s">
        <v>614</v>
      </c>
      <c r="B10" s="2">
        <v>1</v>
      </c>
      <c r="C10" s="90">
        <v>5500</v>
      </c>
      <c r="D10" s="89">
        <v>45525</v>
      </c>
    </row>
    <row r="11" spans="1:10">
      <c r="A11" s="2" t="s">
        <v>615</v>
      </c>
      <c r="B11" s="2">
        <v>1</v>
      </c>
      <c r="C11" s="90">
        <v>9300</v>
      </c>
      <c r="D11" s="89">
        <v>45525</v>
      </c>
    </row>
    <row r="12" spans="1:10">
      <c r="A12" s="2" t="s">
        <v>616</v>
      </c>
      <c r="B12" s="2">
        <v>1</v>
      </c>
      <c r="C12" s="90">
        <v>10000</v>
      </c>
      <c r="D12" s="89">
        <v>45525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A335-27D9-4227-A962-D6477EB8F3DD}">
  <sheetPr>
    <tabColor theme="5" tint="0.59999389629810485"/>
  </sheetPr>
  <dimension ref="A1:J49"/>
  <sheetViews>
    <sheetView topLeftCell="A31" workbookViewId="0">
      <selection activeCell="C39" sqref="C39"/>
    </sheetView>
  </sheetViews>
  <sheetFormatPr baseColWidth="10" defaultRowHeight="15"/>
  <cols>
    <col min="1" max="1" width="37" customWidth="1"/>
    <col min="2" max="2" width="11.85546875" customWidth="1"/>
    <col min="3" max="3" width="49.42578125" customWidth="1"/>
    <col min="4" max="4" width="18.42578125" customWidth="1"/>
    <col min="5" max="5" width="25.85546875" customWidth="1"/>
    <col min="6" max="6" width="21.42578125" customWidth="1"/>
    <col min="7" max="7" width="18.28515625" customWidth="1"/>
    <col min="8" max="8" width="11.42578125" customWidth="1"/>
  </cols>
  <sheetData>
    <row r="1" spans="1:10" ht="23.25">
      <c r="B1" s="343" t="s">
        <v>207</v>
      </c>
      <c r="C1" s="343"/>
      <c r="D1" s="343"/>
    </row>
    <row r="2" spans="1:10" ht="21">
      <c r="B2" s="42" t="s">
        <v>119</v>
      </c>
      <c r="C2" s="42" t="s">
        <v>0</v>
      </c>
      <c r="D2" s="42" t="s">
        <v>2</v>
      </c>
    </row>
    <row r="3" spans="1:10">
      <c r="B3" s="10"/>
      <c r="C3" s="10" t="s">
        <v>117</v>
      </c>
      <c r="D3" s="2">
        <v>5</v>
      </c>
    </row>
    <row r="4" spans="1:10">
      <c r="B4" s="11">
        <v>45167</v>
      </c>
      <c r="C4" s="10" t="s">
        <v>118</v>
      </c>
      <c r="D4" s="2">
        <v>9</v>
      </c>
      <c r="E4" s="9" t="s">
        <v>120</v>
      </c>
      <c r="F4" s="9"/>
      <c r="G4" s="9"/>
    </row>
    <row r="5" spans="1:10">
      <c r="B5" s="11">
        <v>45174</v>
      </c>
      <c r="C5" s="10" t="s">
        <v>278</v>
      </c>
      <c r="D5" s="2">
        <v>50</v>
      </c>
      <c r="E5" s="9"/>
      <c r="F5" s="9"/>
      <c r="G5" s="9"/>
    </row>
    <row r="6" spans="1:10">
      <c r="B6" s="11">
        <v>45174</v>
      </c>
      <c r="C6" s="10" t="s">
        <v>121</v>
      </c>
      <c r="D6" s="2">
        <v>2</v>
      </c>
      <c r="E6" s="13" t="s">
        <v>122</v>
      </c>
      <c r="F6" s="9"/>
      <c r="G6" s="9"/>
    </row>
    <row r="7" spans="1:10">
      <c r="B7" s="344" t="s">
        <v>178</v>
      </c>
      <c r="C7" s="12" t="s">
        <v>123</v>
      </c>
      <c r="D7" s="6"/>
    </row>
    <row r="8" spans="1:10" ht="30">
      <c r="B8" s="345"/>
      <c r="C8" s="12" t="s">
        <v>124</v>
      </c>
      <c r="D8" s="6"/>
    </row>
    <row r="9" spans="1:10">
      <c r="B9" s="346"/>
      <c r="C9" s="12" t="s">
        <v>125</v>
      </c>
      <c r="D9" s="6"/>
    </row>
    <row r="10" spans="1:10">
      <c r="H10" s="340"/>
      <c r="I10" s="340"/>
      <c r="J10" s="340"/>
    </row>
    <row r="11" spans="1:10" ht="23.25">
      <c r="B11" s="347" t="s">
        <v>207</v>
      </c>
      <c r="C11" s="348"/>
      <c r="D11" s="348"/>
      <c r="E11" s="348"/>
      <c r="F11" s="349"/>
    </row>
    <row r="12" spans="1:10" ht="21">
      <c r="B12" s="42" t="s">
        <v>119</v>
      </c>
      <c r="C12" s="42" t="s">
        <v>0</v>
      </c>
      <c r="D12" s="42" t="s">
        <v>2</v>
      </c>
      <c r="E12" s="42" t="s">
        <v>198</v>
      </c>
      <c r="F12" s="42" t="s">
        <v>199</v>
      </c>
    </row>
    <row r="13" spans="1:10">
      <c r="B13" s="44">
        <v>45205</v>
      </c>
      <c r="C13" s="45" t="s">
        <v>279</v>
      </c>
      <c r="D13" s="46">
        <v>1</v>
      </c>
      <c r="E13" s="47">
        <v>10000</v>
      </c>
      <c r="F13" s="47">
        <f>+E13*D13</f>
        <v>10000</v>
      </c>
    </row>
    <row r="14" spans="1:10">
      <c r="B14" s="44">
        <v>45205</v>
      </c>
      <c r="C14" s="45" t="s">
        <v>196</v>
      </c>
      <c r="D14" s="46">
        <v>10</v>
      </c>
      <c r="E14" s="47">
        <v>60000</v>
      </c>
      <c r="F14" s="47">
        <f>+E14*D14</f>
        <v>600000</v>
      </c>
    </row>
    <row r="15" spans="1:10">
      <c r="B15" s="44">
        <v>45205</v>
      </c>
      <c r="C15" s="45" t="s">
        <v>197</v>
      </c>
      <c r="D15" s="46">
        <v>1</v>
      </c>
      <c r="E15" s="47">
        <v>60000</v>
      </c>
      <c r="F15" s="47">
        <f>+E15*D15</f>
        <v>60000</v>
      </c>
    </row>
    <row r="16" spans="1:10">
      <c r="A16" s="19"/>
      <c r="B16" s="20">
        <v>45265</v>
      </c>
      <c r="C16" s="21" t="s">
        <v>256</v>
      </c>
      <c r="D16" s="21">
        <v>4</v>
      </c>
      <c r="E16" s="43">
        <v>60000</v>
      </c>
      <c r="F16" s="43">
        <v>240000</v>
      </c>
    </row>
    <row r="17" spans="1:7">
      <c r="A17" s="19" t="s">
        <v>257</v>
      </c>
      <c r="B17" s="22">
        <v>45265</v>
      </c>
      <c r="C17" s="23" t="s">
        <v>258</v>
      </c>
      <c r="D17" s="23">
        <v>16</v>
      </c>
      <c r="E17" s="43">
        <v>20000</v>
      </c>
      <c r="F17" s="43">
        <v>320000</v>
      </c>
    </row>
    <row r="18" spans="1:7">
      <c r="A18" s="24" t="s">
        <v>259</v>
      </c>
      <c r="B18" s="22">
        <v>45265</v>
      </c>
      <c r="C18" s="23" t="s">
        <v>260</v>
      </c>
      <c r="D18" s="23">
        <v>30</v>
      </c>
      <c r="E18" s="43">
        <v>20000</v>
      </c>
      <c r="F18" s="43">
        <v>600000</v>
      </c>
    </row>
    <row r="19" spans="1:7">
      <c r="A19" s="24" t="s">
        <v>261</v>
      </c>
      <c r="B19" s="22">
        <v>45265</v>
      </c>
      <c r="C19" s="23" t="s">
        <v>262</v>
      </c>
      <c r="D19" s="23">
        <v>37</v>
      </c>
      <c r="E19" s="43">
        <v>20000</v>
      </c>
      <c r="F19" s="43">
        <v>740000</v>
      </c>
    </row>
    <row r="20" spans="1:7">
      <c r="A20" s="24" t="s">
        <v>292</v>
      </c>
      <c r="B20" s="20">
        <v>45265</v>
      </c>
      <c r="C20" s="23" t="s">
        <v>285</v>
      </c>
      <c r="D20" s="23">
        <v>40</v>
      </c>
      <c r="E20" s="43">
        <v>4000</v>
      </c>
      <c r="F20" s="43">
        <v>160000</v>
      </c>
    </row>
    <row r="21" spans="1:7">
      <c r="A21" s="25"/>
      <c r="B21" s="20">
        <v>45265</v>
      </c>
      <c r="C21" s="23" t="s">
        <v>263</v>
      </c>
      <c r="D21" s="23">
        <v>2</v>
      </c>
      <c r="E21" s="43">
        <v>40000</v>
      </c>
      <c r="F21" s="43">
        <v>80000</v>
      </c>
    </row>
    <row r="22" spans="1:7">
      <c r="A22" s="26" t="s">
        <v>264</v>
      </c>
      <c r="B22" s="27">
        <v>45271</v>
      </c>
      <c r="C22" s="28" t="s">
        <v>265</v>
      </c>
      <c r="D22" s="28">
        <v>2</v>
      </c>
      <c r="E22" s="40">
        <v>90000</v>
      </c>
      <c r="F22" s="40">
        <v>180000</v>
      </c>
    </row>
    <row r="23" spans="1:7">
      <c r="A23" s="341" t="s">
        <v>290</v>
      </c>
      <c r="B23" s="27">
        <v>45271</v>
      </c>
      <c r="C23" s="28" t="s">
        <v>266</v>
      </c>
      <c r="D23" s="28">
        <v>4</v>
      </c>
      <c r="E23" s="40">
        <v>12000</v>
      </c>
      <c r="F23" s="40">
        <v>48000</v>
      </c>
    </row>
    <row r="24" spans="1:7">
      <c r="A24" s="341"/>
      <c r="B24" s="27">
        <v>45271</v>
      </c>
      <c r="C24" s="28" t="s">
        <v>267</v>
      </c>
      <c r="D24" s="28">
        <v>11</v>
      </c>
      <c r="E24" s="40">
        <v>12000</v>
      </c>
      <c r="F24" s="40">
        <v>132000</v>
      </c>
      <c r="G24" s="29" t="s">
        <v>268</v>
      </c>
    </row>
    <row r="25" spans="1:7">
      <c r="B25" s="30">
        <v>45281</v>
      </c>
      <c r="C25" s="31" t="s">
        <v>269</v>
      </c>
      <c r="D25" s="31">
        <v>12</v>
      </c>
      <c r="E25" s="32">
        <v>14000</v>
      </c>
      <c r="F25" s="32">
        <v>84000</v>
      </c>
      <c r="G25" s="342" t="s">
        <v>270</v>
      </c>
    </row>
    <row r="26" spans="1:7">
      <c r="B26" s="30">
        <v>45281</v>
      </c>
      <c r="C26" s="31" t="s">
        <v>271</v>
      </c>
      <c r="D26" s="31">
        <v>20</v>
      </c>
      <c r="E26" s="32">
        <v>10500</v>
      </c>
      <c r="F26" s="32">
        <v>210000</v>
      </c>
      <c r="G26" s="342"/>
    </row>
    <row r="27" spans="1:7">
      <c r="A27" s="351" t="s">
        <v>291</v>
      </c>
      <c r="B27" s="34">
        <v>45282</v>
      </c>
      <c r="C27" s="35" t="s">
        <v>272</v>
      </c>
      <c r="D27" s="35">
        <v>9</v>
      </c>
      <c r="E27" s="36">
        <v>2000</v>
      </c>
      <c r="F27" s="36">
        <v>18000</v>
      </c>
    </row>
    <row r="28" spans="1:7">
      <c r="A28" s="351"/>
      <c r="B28" s="50">
        <v>45300</v>
      </c>
      <c r="C28" s="37" t="s">
        <v>274</v>
      </c>
      <c r="D28" s="37">
        <v>39</v>
      </c>
      <c r="E28" s="38">
        <v>20000</v>
      </c>
      <c r="F28" s="38">
        <v>780000</v>
      </c>
    </row>
    <row r="29" spans="1:7">
      <c r="A29" s="351"/>
      <c r="B29" s="51">
        <v>45300</v>
      </c>
      <c r="C29" s="33" t="s">
        <v>275</v>
      </c>
      <c r="D29" s="33">
        <v>48</v>
      </c>
      <c r="E29" s="39">
        <v>20000</v>
      </c>
      <c r="F29" s="39">
        <v>960000</v>
      </c>
    </row>
    <row r="30" spans="1:7">
      <c r="A30" s="351"/>
      <c r="B30" s="51">
        <v>45300</v>
      </c>
      <c r="C30" s="33" t="s">
        <v>276</v>
      </c>
      <c r="D30" s="33">
        <v>4</v>
      </c>
      <c r="E30" s="39">
        <v>60000</v>
      </c>
      <c r="F30" s="39">
        <v>240000</v>
      </c>
    </row>
    <row r="31" spans="1:7">
      <c r="A31" s="351"/>
      <c r="B31" s="52">
        <v>45300</v>
      </c>
      <c r="C31" s="48" t="s">
        <v>305</v>
      </c>
      <c r="D31" s="48">
        <v>2</v>
      </c>
      <c r="E31" s="49">
        <v>60000</v>
      </c>
      <c r="F31" s="49">
        <v>120000</v>
      </c>
    </row>
    <row r="32" spans="1:7">
      <c r="A32" s="350" t="s">
        <v>339</v>
      </c>
      <c r="B32" s="54">
        <v>45337</v>
      </c>
      <c r="C32" s="14" t="s">
        <v>304</v>
      </c>
      <c r="D32" s="14">
        <v>4</v>
      </c>
      <c r="E32" s="55">
        <v>70000</v>
      </c>
      <c r="F32" s="55">
        <v>280000</v>
      </c>
    </row>
    <row r="33" spans="1:6">
      <c r="A33" s="350"/>
      <c r="B33" s="54">
        <v>45349</v>
      </c>
      <c r="C33" s="14" t="s">
        <v>333</v>
      </c>
      <c r="D33" s="14">
        <v>6</v>
      </c>
      <c r="E33" s="55">
        <v>70000</v>
      </c>
      <c r="F33" s="56">
        <v>420000</v>
      </c>
    </row>
    <row r="34" spans="1:6">
      <c r="A34" s="350"/>
      <c r="B34" s="54">
        <v>45349</v>
      </c>
      <c r="C34" s="14" t="s">
        <v>334</v>
      </c>
      <c r="D34" s="14">
        <v>4</v>
      </c>
      <c r="E34" s="55">
        <v>70000</v>
      </c>
      <c r="F34" s="56">
        <v>280000</v>
      </c>
    </row>
    <row r="35" spans="1:6">
      <c r="A35" s="61"/>
      <c r="B35" s="58">
        <v>45372</v>
      </c>
      <c r="C35" s="59" t="s">
        <v>340</v>
      </c>
      <c r="D35" s="59">
        <v>5</v>
      </c>
      <c r="E35" s="60">
        <v>20000</v>
      </c>
      <c r="F35" s="60">
        <v>100000</v>
      </c>
    </row>
    <row r="36" spans="1:6">
      <c r="A36" s="61"/>
      <c r="B36" s="58">
        <v>45372</v>
      </c>
      <c r="C36" s="59" t="s">
        <v>341</v>
      </c>
      <c r="D36" s="59">
        <v>13</v>
      </c>
      <c r="E36" s="60">
        <v>20000</v>
      </c>
      <c r="F36" s="60">
        <v>260000</v>
      </c>
    </row>
    <row r="37" spans="1:6">
      <c r="A37" s="61"/>
      <c r="B37" s="58">
        <v>45372</v>
      </c>
      <c r="C37" s="59" t="s">
        <v>342</v>
      </c>
      <c r="D37" s="59">
        <v>30</v>
      </c>
      <c r="E37" s="60">
        <v>20000</v>
      </c>
      <c r="F37" s="60">
        <v>600000</v>
      </c>
    </row>
    <row r="38" spans="1:6">
      <c r="A38" s="62"/>
      <c r="B38" s="58">
        <v>45372</v>
      </c>
      <c r="C38" s="59" t="s">
        <v>343</v>
      </c>
      <c r="D38" s="59">
        <v>13</v>
      </c>
      <c r="E38" s="60">
        <v>20000</v>
      </c>
      <c r="F38" s="60">
        <v>260000</v>
      </c>
    </row>
    <row r="39" spans="1:6">
      <c r="A39" s="62"/>
      <c r="B39" s="58">
        <v>45393</v>
      </c>
      <c r="C39" s="59" t="s">
        <v>344</v>
      </c>
      <c r="D39" s="59">
        <v>11</v>
      </c>
      <c r="E39" s="60">
        <v>20000</v>
      </c>
      <c r="F39" s="60">
        <v>220000</v>
      </c>
    </row>
    <row r="40" spans="1:6">
      <c r="A40" s="61" t="s">
        <v>350</v>
      </c>
      <c r="B40" s="58">
        <v>45393</v>
      </c>
      <c r="C40" s="59" t="s">
        <v>345</v>
      </c>
      <c r="D40" s="59">
        <v>20</v>
      </c>
      <c r="E40" s="60">
        <v>20000</v>
      </c>
      <c r="F40" s="60">
        <v>400000</v>
      </c>
    </row>
    <row r="41" spans="1:6">
      <c r="A41" s="61" t="s">
        <v>351</v>
      </c>
      <c r="B41" s="58">
        <v>45393</v>
      </c>
      <c r="C41" s="59" t="s">
        <v>346</v>
      </c>
      <c r="D41" s="59">
        <v>2</v>
      </c>
      <c r="E41" s="60">
        <v>20000</v>
      </c>
      <c r="F41" s="60">
        <v>40000</v>
      </c>
    </row>
    <row r="42" spans="1:6">
      <c r="A42" s="61" t="s">
        <v>352</v>
      </c>
      <c r="B42" s="58">
        <v>45393</v>
      </c>
      <c r="C42" s="59" t="s">
        <v>347</v>
      </c>
      <c r="D42" s="59">
        <v>18</v>
      </c>
      <c r="E42" s="60">
        <v>20000</v>
      </c>
      <c r="F42" s="60">
        <v>360000</v>
      </c>
    </row>
    <row r="43" spans="1:6">
      <c r="A43" s="62"/>
      <c r="B43" s="58">
        <v>45393</v>
      </c>
      <c r="C43" s="59" t="s">
        <v>342</v>
      </c>
      <c r="D43" s="59">
        <v>20</v>
      </c>
      <c r="E43" s="60">
        <v>20000</v>
      </c>
      <c r="F43" s="60">
        <v>400000</v>
      </c>
    </row>
    <row r="44" spans="1:6">
      <c r="A44" s="62"/>
      <c r="B44" s="58">
        <v>45394</v>
      </c>
      <c r="C44" s="59" t="s">
        <v>348</v>
      </c>
      <c r="D44" s="59">
        <v>25</v>
      </c>
      <c r="E44" s="60">
        <v>20000</v>
      </c>
      <c r="F44" s="60">
        <v>500000</v>
      </c>
    </row>
    <row r="45" spans="1:6">
      <c r="A45" s="62"/>
      <c r="B45" s="58">
        <v>45394</v>
      </c>
      <c r="C45" s="59" t="s">
        <v>347</v>
      </c>
      <c r="D45" s="59">
        <v>2</v>
      </c>
      <c r="E45" s="60">
        <v>20000</v>
      </c>
      <c r="F45" s="60">
        <v>40000</v>
      </c>
    </row>
    <row r="46" spans="1:6">
      <c r="A46" s="62"/>
      <c r="B46" s="58">
        <v>45394</v>
      </c>
      <c r="C46" s="59" t="s">
        <v>349</v>
      </c>
      <c r="D46" s="59">
        <v>22</v>
      </c>
      <c r="E46" s="60">
        <v>20000</v>
      </c>
      <c r="F46" s="60">
        <v>440000</v>
      </c>
    </row>
    <row r="47" spans="1:6">
      <c r="A47" s="62"/>
      <c r="B47" s="58">
        <v>45394</v>
      </c>
      <c r="C47" s="59" t="s">
        <v>343</v>
      </c>
      <c r="D47" s="59">
        <v>7</v>
      </c>
      <c r="E47" s="60">
        <v>20000</v>
      </c>
      <c r="F47" s="60">
        <v>140000</v>
      </c>
    </row>
    <row r="48" spans="1:6">
      <c r="A48" s="63"/>
      <c r="B48" s="58">
        <v>45394</v>
      </c>
      <c r="C48" s="59" t="s">
        <v>341</v>
      </c>
      <c r="D48" s="59">
        <v>2</v>
      </c>
      <c r="E48" s="60">
        <v>20000</v>
      </c>
      <c r="F48" s="60">
        <v>40000</v>
      </c>
    </row>
    <row r="49" spans="6:6">
      <c r="F49" s="53"/>
    </row>
  </sheetData>
  <mergeCells count="8">
    <mergeCell ref="A32:A34"/>
    <mergeCell ref="A27:A31"/>
    <mergeCell ref="H10:J10"/>
    <mergeCell ref="A23:A24"/>
    <mergeCell ref="G25:G26"/>
    <mergeCell ref="B1:D1"/>
    <mergeCell ref="B7:B9"/>
    <mergeCell ref="B11:F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B10E-F1AD-4C08-A643-E6A94BE611AB}">
  <dimension ref="B1:E14"/>
  <sheetViews>
    <sheetView showGridLines="0" workbookViewId="0">
      <selection activeCell="L7" sqref="L7"/>
    </sheetView>
  </sheetViews>
  <sheetFormatPr baseColWidth="10" defaultRowHeight="15"/>
  <cols>
    <col min="2" max="2" width="5.140625" customWidth="1"/>
    <col min="3" max="3" width="37.42578125" customWidth="1"/>
    <col min="4" max="4" width="21.7109375" customWidth="1"/>
    <col min="5" max="5" width="28.28515625" customWidth="1"/>
  </cols>
  <sheetData>
    <row r="1" spans="2:5" ht="25.5">
      <c r="B1" s="352" t="s">
        <v>357</v>
      </c>
      <c r="C1" s="353"/>
      <c r="D1" s="353"/>
      <c r="E1" s="354"/>
    </row>
    <row r="2" spans="2:5">
      <c r="B2" s="64" t="s">
        <v>353</v>
      </c>
      <c r="C2" s="64" t="s">
        <v>354</v>
      </c>
      <c r="D2" s="64" t="s">
        <v>355</v>
      </c>
      <c r="E2" s="64" t="s">
        <v>356</v>
      </c>
    </row>
    <row r="3" spans="2:5">
      <c r="B3" s="1">
        <v>1</v>
      </c>
      <c r="C3" s="2" t="s">
        <v>358</v>
      </c>
      <c r="D3" s="2" t="s">
        <v>361</v>
      </c>
      <c r="E3" s="2" t="s">
        <v>362</v>
      </c>
    </row>
    <row r="4" spans="2:5">
      <c r="B4" s="1">
        <v>2</v>
      </c>
      <c r="C4" s="2" t="s">
        <v>359</v>
      </c>
      <c r="D4" s="2" t="s">
        <v>361</v>
      </c>
      <c r="E4" s="2" t="s">
        <v>362</v>
      </c>
    </row>
    <row r="5" spans="2:5">
      <c r="B5" s="1">
        <v>3</v>
      </c>
      <c r="C5" s="2" t="s">
        <v>360</v>
      </c>
      <c r="D5" s="2" t="s">
        <v>361</v>
      </c>
      <c r="E5" s="2" t="s">
        <v>362</v>
      </c>
    </row>
    <row r="6" spans="2:5">
      <c r="B6" s="1">
        <v>4</v>
      </c>
      <c r="C6" s="2" t="s">
        <v>363</v>
      </c>
      <c r="D6" s="2" t="s">
        <v>364</v>
      </c>
      <c r="E6" s="2" t="s">
        <v>365</v>
      </c>
    </row>
    <row r="7" spans="2:5">
      <c r="B7" s="1">
        <v>5</v>
      </c>
      <c r="C7" s="2" t="s">
        <v>366</v>
      </c>
      <c r="D7" s="2" t="s">
        <v>364</v>
      </c>
      <c r="E7" s="2" t="s">
        <v>365</v>
      </c>
    </row>
    <row r="8" spans="2:5">
      <c r="B8" s="1">
        <v>6</v>
      </c>
      <c r="C8" s="2" t="s">
        <v>367</v>
      </c>
      <c r="D8" s="2" t="s">
        <v>364</v>
      </c>
      <c r="E8" s="2" t="s">
        <v>365</v>
      </c>
    </row>
    <row r="9" spans="2:5">
      <c r="B9" s="1">
        <v>7</v>
      </c>
      <c r="C9" s="2" t="s">
        <v>368</v>
      </c>
      <c r="D9" s="2" t="s">
        <v>361</v>
      </c>
      <c r="E9" s="2" t="s">
        <v>362</v>
      </c>
    </row>
    <row r="10" spans="2:5">
      <c r="B10" s="1">
        <v>8</v>
      </c>
      <c r="C10" s="2" t="s">
        <v>248</v>
      </c>
      <c r="D10" s="2" t="s">
        <v>361</v>
      </c>
      <c r="E10" s="2" t="s">
        <v>369</v>
      </c>
    </row>
    <row r="11" spans="2:5">
      <c r="B11" s="1">
        <v>9</v>
      </c>
      <c r="C11" s="2"/>
      <c r="D11" s="2"/>
      <c r="E11" s="2"/>
    </row>
    <row r="12" spans="2:5">
      <c r="B12" s="1">
        <v>10</v>
      </c>
      <c r="C12" s="2"/>
      <c r="D12" s="2"/>
      <c r="E12" s="2"/>
    </row>
    <row r="13" spans="2:5">
      <c r="B13" s="1">
        <v>11</v>
      </c>
      <c r="C13" s="2"/>
      <c r="D13" s="2"/>
      <c r="E13" s="2"/>
    </row>
    <row r="14" spans="2:5">
      <c r="B14" s="1">
        <v>12</v>
      </c>
      <c r="C14" s="2"/>
      <c r="D14" s="2"/>
      <c r="E14" s="2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DATOS IMPORTANTES </vt:lpstr>
      <vt:lpstr>INVENTARIO</vt:lpstr>
      <vt:lpstr>TELAS - VELOS </vt:lpstr>
      <vt:lpstr>ESPACIO PUBLICO - AREA METROPOL</vt:lpstr>
      <vt:lpstr>INSUMOS DECORACION </vt:lpstr>
      <vt:lpstr>INSUMOS CRISPETAS</vt:lpstr>
      <vt:lpstr>INSUMOS GRECA</vt:lpstr>
      <vt:lpstr>INSUMOS MANGO </vt:lpstr>
      <vt:lpstr>INSUMOS OBLEAS</vt:lpstr>
      <vt:lpstr>INGRESOS ANA</vt:lpstr>
      <vt:lpstr>MOB MARCADOS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funda</dc:creator>
  <cp:lastModifiedBy>Luis Escorcia T-blue</cp:lastModifiedBy>
  <cp:lastPrinted>2025-07-07T21:26:27Z</cp:lastPrinted>
  <dcterms:created xsi:type="dcterms:W3CDTF">2023-08-14T16:46:28Z</dcterms:created>
  <dcterms:modified xsi:type="dcterms:W3CDTF">2026-02-25T22:02:31Z</dcterms:modified>
</cp:coreProperties>
</file>